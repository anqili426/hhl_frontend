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.hagen/Coding Projects/hhl_frontend/src/test/evaluation/"/>
    </mc:Choice>
  </mc:AlternateContent>
  <xr:revisionPtr revIDLastSave="0" documentId="13_ncr:9_{61F9EEFC-8914-4F49-B4B8-B09EBC4326AF}" xr6:coauthVersionLast="47" xr6:coauthVersionMax="47" xr10:uidLastSave="{00000000-0000-0000-0000-000000000000}"/>
  <bookViews>
    <workbookView xWindow="28800" yWindow="-9480" windowWidth="38400" windowHeight="21100" xr2:uid="{ECE247EE-B41C-0546-8536-E313FC16277C}"/>
  </bookViews>
  <sheets>
    <sheet name="output-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1" l="1"/>
  <c r="AC3" i="1"/>
  <c r="AC4" i="1"/>
  <c r="AC5" i="1"/>
  <c r="AC6" i="1"/>
  <c r="AC7" i="1"/>
  <c r="AC8" i="1"/>
  <c r="AC9" i="1"/>
  <c r="AC10" i="1"/>
  <c r="AC11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5" i="1"/>
  <c r="AC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2" i="1"/>
  <c r="AH95" i="1"/>
  <c r="AG9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G9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2" i="1"/>
  <c r="U2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Q95" i="1"/>
  <c r="R95" i="1"/>
  <c r="S95" i="1"/>
  <c r="P95" i="1"/>
  <c r="I95" i="1"/>
  <c r="J95" i="1"/>
  <c r="K95" i="1"/>
  <c r="H95" i="1"/>
  <c r="E95" i="1"/>
  <c r="D95" i="1"/>
  <c r="X95" i="1"/>
  <c r="Z95" i="1"/>
  <c r="AB3" i="1"/>
  <c r="AD3" i="1" s="1"/>
  <c r="AB4" i="1"/>
  <c r="AD4" i="1" s="1"/>
  <c r="AB5" i="1"/>
  <c r="AD5" i="1" s="1"/>
  <c r="AB6" i="1"/>
  <c r="AD6" i="1" s="1"/>
  <c r="AB7" i="1"/>
  <c r="AD7" i="1" s="1"/>
  <c r="AB8" i="1"/>
  <c r="AD8" i="1" s="1"/>
  <c r="AB9" i="1"/>
  <c r="AD9" i="1" s="1"/>
  <c r="AB10" i="1"/>
  <c r="AD10" i="1" s="1"/>
  <c r="AB11" i="1"/>
  <c r="AD11" i="1" s="1"/>
  <c r="AB12" i="1"/>
  <c r="AD12" i="1" s="1"/>
  <c r="AB13" i="1"/>
  <c r="AD13" i="1" s="1"/>
  <c r="AB14" i="1"/>
  <c r="AD14" i="1" s="1"/>
  <c r="AB15" i="1"/>
  <c r="AD15" i="1" s="1"/>
  <c r="AB16" i="1"/>
  <c r="AD16" i="1" s="1"/>
  <c r="AB17" i="1"/>
  <c r="AD17" i="1" s="1"/>
  <c r="AB18" i="1"/>
  <c r="AD18" i="1" s="1"/>
  <c r="AB19" i="1"/>
  <c r="AD19" i="1" s="1"/>
  <c r="AB20" i="1"/>
  <c r="AD20" i="1" s="1"/>
  <c r="AB21" i="1"/>
  <c r="AD21" i="1" s="1"/>
  <c r="AB22" i="1"/>
  <c r="AD22" i="1" s="1"/>
  <c r="AB23" i="1"/>
  <c r="AD23" i="1" s="1"/>
  <c r="AB24" i="1"/>
  <c r="AD24" i="1" s="1"/>
  <c r="AB25" i="1"/>
  <c r="AD25" i="1" s="1"/>
  <c r="AB26" i="1"/>
  <c r="AD26" i="1" s="1"/>
  <c r="AB27" i="1"/>
  <c r="AD27" i="1" s="1"/>
  <c r="AB28" i="1"/>
  <c r="AD28" i="1" s="1"/>
  <c r="AB29" i="1"/>
  <c r="AD29" i="1" s="1"/>
  <c r="AB30" i="1"/>
  <c r="AD30" i="1" s="1"/>
  <c r="AB31" i="1"/>
  <c r="AD31" i="1" s="1"/>
  <c r="AB32" i="1"/>
  <c r="AD32" i="1" s="1"/>
  <c r="AB33" i="1"/>
  <c r="AD33" i="1" s="1"/>
  <c r="AB34" i="1"/>
  <c r="AD34" i="1" s="1"/>
  <c r="AB35" i="1"/>
  <c r="AD35" i="1" s="1"/>
  <c r="AB36" i="1"/>
  <c r="AD36" i="1" s="1"/>
  <c r="AB37" i="1"/>
  <c r="AD37" i="1" s="1"/>
  <c r="AB38" i="1"/>
  <c r="AD38" i="1" s="1"/>
  <c r="AB39" i="1"/>
  <c r="AD39" i="1" s="1"/>
  <c r="AB40" i="1"/>
  <c r="AD40" i="1" s="1"/>
  <c r="AB41" i="1"/>
  <c r="AD41" i="1" s="1"/>
  <c r="AB42" i="1"/>
  <c r="AD42" i="1" s="1"/>
  <c r="AB43" i="1"/>
  <c r="AD43" i="1" s="1"/>
  <c r="AB44" i="1"/>
  <c r="AD44" i="1" s="1"/>
  <c r="AB45" i="1"/>
  <c r="AD45" i="1" s="1"/>
  <c r="AB46" i="1"/>
  <c r="AD46" i="1" s="1"/>
  <c r="AB47" i="1"/>
  <c r="AD47" i="1" s="1"/>
  <c r="AB48" i="1"/>
  <c r="AD48" i="1" s="1"/>
  <c r="AB49" i="1"/>
  <c r="AD49" i="1" s="1"/>
  <c r="AB50" i="1"/>
  <c r="AD50" i="1" s="1"/>
  <c r="AB51" i="1"/>
  <c r="AD51" i="1" s="1"/>
  <c r="AB52" i="1"/>
  <c r="AD52" i="1" s="1"/>
  <c r="AB53" i="1"/>
  <c r="AD53" i="1" s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D59" i="1" s="1"/>
  <c r="AB60" i="1"/>
  <c r="AD60" i="1" s="1"/>
  <c r="AB61" i="1"/>
  <c r="AD61" i="1" s="1"/>
  <c r="AB62" i="1"/>
  <c r="AD62" i="1" s="1"/>
  <c r="AB63" i="1"/>
  <c r="AD63" i="1" s="1"/>
  <c r="AB64" i="1"/>
  <c r="AD64" i="1" s="1"/>
  <c r="AB65" i="1"/>
  <c r="AD65" i="1" s="1"/>
  <c r="AB66" i="1"/>
  <c r="AD66" i="1" s="1"/>
  <c r="AB67" i="1"/>
  <c r="AD67" i="1" s="1"/>
  <c r="AB68" i="1"/>
  <c r="AD68" i="1" s="1"/>
  <c r="AB69" i="1"/>
  <c r="AD69" i="1" s="1"/>
  <c r="AB70" i="1"/>
  <c r="AD70" i="1" s="1"/>
  <c r="AB71" i="1"/>
  <c r="AD71" i="1" s="1"/>
  <c r="AB72" i="1"/>
  <c r="AD72" i="1" s="1"/>
  <c r="AB73" i="1"/>
  <c r="AD73" i="1" s="1"/>
  <c r="AB74" i="1"/>
  <c r="AD74" i="1" s="1"/>
  <c r="AB75" i="1"/>
  <c r="AD75" i="1" s="1"/>
  <c r="AB76" i="1"/>
  <c r="AD76" i="1" s="1"/>
  <c r="AB77" i="1"/>
  <c r="AD77" i="1" s="1"/>
  <c r="AB78" i="1"/>
  <c r="AD78" i="1" s="1"/>
  <c r="AB79" i="1"/>
  <c r="AD79" i="1" s="1"/>
  <c r="AB80" i="1"/>
  <c r="AD80" i="1" s="1"/>
  <c r="AB81" i="1"/>
  <c r="AD81" i="1" s="1"/>
  <c r="AB82" i="1"/>
  <c r="AD82" i="1" s="1"/>
  <c r="AB83" i="1"/>
  <c r="AD83" i="1" s="1"/>
  <c r="AB84" i="1"/>
  <c r="AD84" i="1" s="1"/>
  <c r="AB85" i="1"/>
  <c r="AD85" i="1" s="1"/>
  <c r="AB86" i="1"/>
  <c r="AD86" i="1" s="1"/>
  <c r="AB87" i="1"/>
  <c r="AD87" i="1" s="1"/>
  <c r="AB88" i="1"/>
  <c r="AD88" i="1" s="1"/>
  <c r="AB89" i="1"/>
  <c r="AD89" i="1" s="1"/>
  <c r="AB90" i="1"/>
  <c r="AD90" i="1" s="1"/>
  <c r="AB91" i="1"/>
  <c r="AD91" i="1" s="1"/>
  <c r="AB92" i="1"/>
  <c r="AD92" i="1" s="1"/>
  <c r="AB93" i="1"/>
  <c r="AD93" i="1" s="1"/>
  <c r="AB2" i="1"/>
  <c r="AD2" i="1" s="1"/>
  <c r="O95" i="1"/>
  <c r="V95" i="1"/>
  <c r="M9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2" i="1"/>
  <c r="T95" i="1" l="1"/>
  <c r="U95" i="1"/>
  <c r="L95" i="1"/>
  <c r="Y95" i="1"/>
  <c r="AD95" i="1"/>
  <c r="AE95" i="1"/>
  <c r="AB95" i="1"/>
</calcChain>
</file>

<file path=xl/sharedStrings.xml><?xml version="1.0" encoding="utf-8"?>
<sst xmlns="http://schemas.openxmlformats.org/spreadsheetml/2006/main" count="1160" uniqueCount="120">
  <si>
    <t>Test case name</t>
  </si>
  <si>
    <t>Runtime total (s)</t>
  </si>
  <si>
    <t>Runtime Characterizer avg (s)</t>
  </si>
  <si>
    <t>Runtime WP avg (s)</t>
  </si>
  <si>
    <t>Runtime SMT encoding avg (s)</t>
  </si>
  <si>
    <t>Runtime SMT solving avg (s)</t>
  </si>
  <si>
    <t>Test result</t>
  </si>
  <si>
    <t>Spec LOC</t>
  </si>
  <si>
    <t>Proof LOC</t>
  </si>
  <si>
    <t>cvc5-proc</t>
  </si>
  <si>
    <t>Passed</t>
  </si>
  <si>
    <t>Failed</t>
  </si>
  <si>
    <t>z3</t>
  </si>
  <si>
    <t>src/test/evaluation/forall/descartes/defaultcookie.hhl</t>
  </si>
  <si>
    <t>src/test/evaluation/forall/descartes/fileitem_false.hhl</t>
  </si>
  <si>
    <t>src/test/evaluation/forall/descartes/namecomparator_false.hhl</t>
  </si>
  <si>
    <t>src/test/evaluation/forall/descartes/datapoint_false.hhl</t>
  </si>
  <si>
    <t>src/test/evaluation/forall/descartes/match_true.hhl</t>
  </si>
  <si>
    <t>src/test/evaluation/forall/descartes/solution_false.hhl</t>
  </si>
  <si>
    <t>src/test/evaluation/forall/descartes/match_false.hhl</t>
  </si>
  <si>
    <t>src/test/evaluation/forall/descartes/node_true.hhl</t>
  </si>
  <si>
    <t>src/test/evaluation/forall/descartes/solution_true.hhl</t>
  </si>
  <si>
    <t>src/test/evaluation/forall/descartes/node_false.hhl</t>
  </si>
  <si>
    <t>src/test/evaluation/forall/descartes/time_true.hhl</t>
  </si>
  <si>
    <t>src/test/evaluation/forall/descartes/fileitem_true.hhl</t>
  </si>
  <si>
    <t>src/test/evaluation/forall/descartes/time_false.hhl</t>
  </si>
  <si>
    <t>src/test/evaluation/forall/descartes/namecomparator_true.hhl</t>
  </si>
  <si>
    <t>src/test/evaluation/forall/pcsat/double_square_ni.hhl</t>
  </si>
  <si>
    <t>src/test/evaluation/forall/pcsat/squares_sum.hhl</t>
  </si>
  <si>
    <t>src/test/evaluation/forall/pcsat/half_square_ni.hhl</t>
  </si>
  <si>
    <t>src/test/evaluation/exists/orhle/httpRequest.hhl</t>
  </si>
  <si>
    <t>src/test/evaluation/exists/orhle/blackjack_donothing_false.hhl</t>
  </si>
  <si>
    <t>src/test/evaluation/exists/orhle/sandbox.hhl</t>
  </si>
  <si>
    <t>src/test/evaluation/exists/orhle/blackjack_once_false.hhl</t>
  </si>
  <si>
    <t>src/test/evaluation/exists/orhle/blackjack_until21.hhl</t>
  </si>
  <si>
    <t>src/test/evaluation/exists/descartes/node_false_exists.hhl</t>
  </si>
  <si>
    <t>src/test/evaluation/exists/descartes/solution_false_exists.hhl</t>
  </si>
  <si>
    <t>src/test/evaluation/exists/descartes/namecomparator_false_exists.hhl</t>
  </si>
  <si>
    <t>src/test/evaluation/exists/descartes/match_false_exists.hhl</t>
  </si>
  <si>
    <t>src/test/evaluation/exists/descartes/datapoint_false_exists.hhl</t>
  </si>
  <si>
    <t>src/test/evaluation/exists/descartes/time_false_exists.hhl</t>
  </si>
  <si>
    <t>src/test/evaluation/exists/descartes/fileitem_false_exists.hhl</t>
  </si>
  <si>
    <t>src/test/evaluation/forall-exists/hypa/p4_gni.hhl</t>
  </si>
  <si>
    <t>src/test/evaluation/forall-exists/hypa/smaller.hhl</t>
  </si>
  <si>
    <t>src/test/evaluation/forall-exists/hypa/p2_gni.hhl</t>
  </si>
  <si>
    <t>src/test/evaluation/forall-exists/hypa/p1_simple.hhl</t>
  </si>
  <si>
    <t>src/test/evaluation/forall-exists/hypa/p3_gni.hhl</t>
  </si>
  <si>
    <t>src/test/evaluation/forall-exists/hypa/counter_sum.hhl</t>
  </si>
  <si>
    <t>src/test/evaluation/forall-exists/hypa/p1_gni.hhl</t>
  </si>
  <si>
    <t>src/test/evaluation/forall-exists/hypa/counter_diff.hhl</t>
  </si>
  <si>
    <t>src/test/evaluation/forall-exists/orhle/param-usage/even_odd_false.hhl</t>
  </si>
  <si>
    <t>src/test/evaluation/forall-exists/orhle/param-usage/semantically_unused.hhl</t>
  </si>
  <si>
    <t>src/test/evaluation/forall-exists/orhle/param-usage/nondet_unused.hhl</t>
  </si>
  <si>
    <t>src/test/evaluation/forall-exists/orhle/param-usage/coin_unused.hhl</t>
  </si>
  <si>
    <t>src/test/evaluation/forall-exists/orhle/param-usage/three_used_false.hhl</t>
  </si>
  <si>
    <t>src/test/evaluation/forall-exists/orhle/param-usage/det_unused.hhl</t>
  </si>
  <si>
    <t>src/test/evaluation/forall-exists/orhle/param-usage/nondet_used_false.hhl</t>
  </si>
  <si>
    <t>src/test/evaluation/forall-exists/orhle/gni/nondet_nonleak2.hhl</t>
  </si>
  <si>
    <t>src/test/evaluation/forall-exists/orhle/gni/simple_leak_false.hhl</t>
  </si>
  <si>
    <t>src/test/evaluation/forall-exists/orhle/gni/nondet_nonleak.hhl</t>
  </si>
  <si>
    <t>src/test/evaluation/forall-exists/orhle/gni/simple_non_leak.hhl</t>
  </si>
  <si>
    <t>src/test/evaluation/forall-exists/orhle/gni/smith1_false.hhl</t>
  </si>
  <si>
    <t>src/test/evaluation/forall-exists/orhle/gni/denning1.hhl</t>
  </si>
  <si>
    <t>src/test/evaluation/forall-exists/orhle/gni/nondet_leak2_false.hhl</t>
  </si>
  <si>
    <t>src/test/evaluation/forall-exists/orhle/gni/nondet_leak_false.hhl</t>
  </si>
  <si>
    <t>src/test/evaluation/forall-exists/orhle/delimited-release/parity_fun.hhl</t>
  </si>
  <si>
    <t>src/test/evaluation/forall-exists/orhle/delimited-release/parity.hhl</t>
  </si>
  <si>
    <t>src/test/evaluation/forall-exists/orhle/delimited-release/conditional_leak_false.hhl</t>
  </si>
  <si>
    <t>src/test/evaluation/forall-exists/orhle/delimited-release/wallet.hhl</t>
  </si>
  <si>
    <t>src/test/evaluation/forall-exists/orhle/delimited-release/wallet_no_dr_false.hhl</t>
  </si>
  <si>
    <t>src/test/evaluation/forall-exists/orhle/delimited-release/conditional_no_dr_false.hhl</t>
  </si>
  <si>
    <t>src/test/evaluation/forall-exists/orhle/delimited-release/parity2.hhl</t>
  </si>
  <si>
    <t>src/test/evaluation/forall-exists/orhle/delimited-release/median_no_dr_false.hhl</t>
  </si>
  <si>
    <t>src/test/evaluation/forall-exists/orhle/delimited-release/median.hhl</t>
  </si>
  <si>
    <t>src/test/evaluation/forall-exists/orhle/delimited-release/avg_salaries.hhl</t>
  </si>
  <si>
    <t>src/test/evaluation/forall-exists/orhle/delimited-release/conditional.hhl</t>
  </si>
  <si>
    <t>src/test/evaluation/forall-exists/orhle/delimited-release/avg_salaries_no_dr_false.hhl</t>
  </si>
  <si>
    <t>src/test/evaluation/forall-exists/orhle/delimited-release/parity_no_dr_false.hhl</t>
  </si>
  <si>
    <t>src/test/evaluation/forall-exists/pcsat/TI_GNI.hhl</t>
  </si>
  <si>
    <t>src/test/evaluation/exists-forall/orhle/param-usage/nondet_used.hhl</t>
  </si>
  <si>
    <t>src/test/evaluation/exists-forall/orhle/param-usage/three_used.hhl</t>
  </si>
  <si>
    <t>src/test/evaluation/exists-forall/orhle/param-usage/even_odd.hhl</t>
  </si>
  <si>
    <t>src/test/evaluation/exists-forall/orhle/gni/nondet_leak.hhl</t>
  </si>
  <si>
    <t>src/test/evaluation/exists-forall/orhle/gni/smith1.hhl</t>
  </si>
  <si>
    <t>src/test/evaluation/exists-forall/orhle/gni/simple_leak.hhl</t>
  </si>
  <si>
    <t>src/test/evaluation/exists-forall/orhle/gni/nondet_leak2.hhl</t>
  </si>
  <si>
    <t>src/test/evaluation/exists-forall/orhle/gni/denning2.hhl</t>
  </si>
  <si>
    <t>src/test/evaluation/exists-forall/orhle/gni/denning3.hhl</t>
  </si>
  <si>
    <t>src/test/evaluation/exists-forall/orhle/delimited-release/conditional_leak.hhl</t>
  </si>
  <si>
    <t>src/test/evaluation/exists-forall/orhle/delimited-release/parity_no_dr.hhl</t>
  </si>
  <si>
    <t>src/test/evaluation/exists-forall/orhle/delimited-release/conditional_no_dr.hhl</t>
  </si>
  <si>
    <t>src/test/evaluation/exists-forall/orhle/delimited-release/median_no_dr.hhl</t>
  </si>
  <si>
    <t>src/test/evaluation/exists-forall/orhle/delimited-release/avg_salaries_no_dr.hhl</t>
  </si>
  <si>
    <t>src/test/evaluation/exists-forall/orhle/delimited-release/wallet_no_dr.hhl</t>
  </si>
  <si>
    <t>src/test/evaluation/errors/hypra/methodCallErr_false.hhl</t>
  </si>
  <si>
    <t>src/test/evaluation/errors/hypra/loopExistsRuleCond1Err_false.hhl</t>
  </si>
  <si>
    <t>src/test/evaluation/errors/hypra/hyperAssertionErr_false.hhl</t>
  </si>
  <si>
    <t>src/test/evaluation/errors/hypra/recursiveQuantifierErr_false.hhl</t>
  </si>
  <si>
    <t>src/test/evaluation/errors/hypra/existsForallRuleErr_false.hhl</t>
  </si>
  <si>
    <t>src/test/evaluation/errors/hypra/loopInvariantErr_false.hhl</t>
  </si>
  <si>
    <t>src/test/evaluation/errors/hypra/existsSyncRuleErr_false.hhl</t>
  </si>
  <si>
    <t>src/test/evaluation/errors/hypra/loopInvariantEntryErr_false.hhl</t>
  </si>
  <si>
    <t>src/test/evaluation/errors/hypra/loopExistsRuleCond2Err_false.hhl</t>
  </si>
  <si>
    <t>src/test/evaluation/errors/hypra/frameErr_false.hhl</t>
  </si>
  <si>
    <t>src/test/evaluation/errors/hypra/postconditionErr_false.hhl</t>
  </si>
  <si>
    <t>Failed tests</t>
  </si>
  <si>
    <t>both (theoretical)</t>
  </si>
  <si>
    <t>AVERAGE</t>
  </si>
  <si>
    <t>Number of triples</t>
  </si>
  <si>
    <t>both</t>
  </si>
  <si>
    <t>Runtime (s)</t>
  </si>
  <si>
    <t>Mode</t>
  </si>
  <si>
    <t>classic</t>
  </si>
  <si>
    <t>Speedup vs. classic</t>
  </si>
  <si>
    <t>Comment</t>
  </si>
  <si>
    <t>classic noframe</t>
  </si>
  <si>
    <t>Can be solved with framing</t>
  </si>
  <si>
    <t>nondet issue</t>
  </si>
  <si>
    <t>Speedup vs. cvc5</t>
  </si>
  <si>
    <t>Speedup vs.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</si>
</sst>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170" fontId="0" fillId="33" borderId="0" xfId="0" applyNumberFormat="1" applyFill="1"/>
    <xf numFmtId="1" fontId="0" fillId="33" borderId="0" xfId="0" applyNumberFormat="1" applyFill="1"/>
    <xf numFmtId="0" fontId="0" fillId="34" borderId="0" xfId="0" applyFill="1"/>
    <xf numFmtId="170" fontId="0" fillId="34" borderId="0" xfId="0" applyNumberFormat="1" applyFill="1"/>
    <xf numFmtId="1" fontId="0" fillId="34" borderId="0" xfId="0" applyNumberFormat="1" applyFill="1"/>
    <xf numFmtId="0" fontId="0" fillId="35" borderId="0" xfId="0" applyFill="1"/>
    <xf numFmtId="1" fontId="0" fillId="35" borderId="0" xfId="0" applyNumberFormat="1" applyFill="1"/>
    <xf numFmtId="170" fontId="0" fillId="35" borderId="0" xfId="0" applyNumberFormat="1" applyFill="1"/>
    <xf numFmtId="0" fontId="0" fillId="36" borderId="0" xfId="0" applyFill="1"/>
    <xf numFmtId="1" fontId="0" fillId="36" borderId="0" xfId="0" applyNumberFormat="1" applyFill="1"/>
    <xf numFmtId="170" fontId="0" fillId="36" borderId="0" xfId="0" applyNumberFormat="1" applyFill="1"/>
    <xf numFmtId="0" fontId="14" fillId="0" borderId="0" xfId="0" applyFont="1"/>
    <xf numFmtId="0" fontId="0" fillId="37" borderId="0" xfId="0" applyFill="1"/>
    <xf numFmtId="170" fontId="0" fillId="37" borderId="0" xfId="0" applyNumberFormat="1" applyFill="1"/>
    <xf numFmtId="1" fontId="0" fillId="37" borderId="0" xfId="0" applyNumberFormat="1" applyFill="1"/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1FAD-30A3-7D4A-8A2C-865505ABB09C}">
  <dimension ref="A1:AK97"/>
  <sheetViews>
    <sheetView tabSelected="1" workbookViewId="0">
      <pane xSplit="1" topLeftCell="O1" activePane="topRight" state="frozen"/>
      <selection pane="topRight" activeCell="AC2" sqref="AC2"/>
    </sheetView>
  </sheetViews>
  <sheetFormatPr baseColWidth="10" defaultRowHeight="16" x14ac:dyDescent="0.2"/>
  <cols>
    <col min="1" max="1" width="54" customWidth="1"/>
    <col min="4" max="4" width="14" customWidth="1"/>
    <col min="7" max="7" width="14" customWidth="1"/>
    <col min="8" max="10" width="11.6640625" bestFit="1" customWidth="1"/>
    <col min="11" max="11" width="12.6640625" bestFit="1" customWidth="1"/>
    <col min="12" max="12" width="15.1640625" customWidth="1"/>
    <col min="13" max="13" width="11.6640625" bestFit="1" customWidth="1"/>
    <col min="15" max="15" width="14" customWidth="1"/>
    <col min="19" max="19" width="11.83203125" customWidth="1"/>
    <col min="20" max="20" width="15" customWidth="1"/>
    <col min="21" max="21" width="15.1640625" customWidth="1"/>
    <col min="24" max="24" width="14" customWidth="1"/>
    <col min="25" max="25" width="15.1640625" customWidth="1"/>
    <col min="28" max="28" width="14" customWidth="1"/>
    <col min="29" max="30" width="15.1640625" customWidth="1"/>
    <col min="33" max="33" width="14.6640625" style="17" customWidth="1"/>
    <col min="34" max="34" width="10.83203125" style="17"/>
    <col min="37" max="37" width="32.5" customWidth="1"/>
  </cols>
  <sheetData>
    <row r="1" spans="1:37" x14ac:dyDescent="0.2">
      <c r="A1" t="s">
        <v>0</v>
      </c>
      <c r="B1" t="s">
        <v>108</v>
      </c>
      <c r="C1" s="14" t="s">
        <v>111</v>
      </c>
      <c r="D1" s="14" t="s">
        <v>110</v>
      </c>
      <c r="E1" s="14" t="s">
        <v>6</v>
      </c>
      <c r="F1" s="1" t="s">
        <v>111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113</v>
      </c>
      <c r="M1" s="1" t="s">
        <v>6</v>
      </c>
      <c r="N1" s="4" t="s">
        <v>111</v>
      </c>
      <c r="O1" s="4" t="s">
        <v>1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118</v>
      </c>
      <c r="U1" s="4" t="s">
        <v>113</v>
      </c>
      <c r="V1" s="4" t="s">
        <v>6</v>
      </c>
      <c r="W1" s="10" t="s">
        <v>111</v>
      </c>
      <c r="X1" s="10" t="s">
        <v>1</v>
      </c>
      <c r="Y1" s="10" t="s">
        <v>113</v>
      </c>
      <c r="Z1" s="10" t="s">
        <v>6</v>
      </c>
      <c r="AA1" s="7" t="s">
        <v>111</v>
      </c>
      <c r="AB1" s="7" t="s">
        <v>1</v>
      </c>
      <c r="AC1" s="7" t="s">
        <v>119</v>
      </c>
      <c r="AD1" s="7" t="s">
        <v>113</v>
      </c>
      <c r="AE1" s="7" t="s">
        <v>6</v>
      </c>
      <c r="AF1" s="14" t="s">
        <v>111</v>
      </c>
      <c r="AG1" s="14" t="s">
        <v>110</v>
      </c>
      <c r="AH1" s="14" t="s">
        <v>6</v>
      </c>
      <c r="AI1" t="s">
        <v>7</v>
      </c>
      <c r="AJ1" t="s">
        <v>8</v>
      </c>
      <c r="AK1" s="17" t="s">
        <v>114</v>
      </c>
    </row>
    <row r="2" spans="1:37" x14ac:dyDescent="0.2">
      <c r="A2" t="s">
        <v>13</v>
      </c>
      <c r="B2">
        <v>3</v>
      </c>
      <c r="C2" s="14" t="s">
        <v>112</v>
      </c>
      <c r="D2" s="14">
        <v>4.949764321</v>
      </c>
      <c r="E2" s="14" t="s">
        <v>10</v>
      </c>
      <c r="F2" s="1" t="s">
        <v>9</v>
      </c>
      <c r="G2" s="2">
        <v>21.876539393000002</v>
      </c>
      <c r="H2" s="2">
        <v>5.4401440000000001E-3</v>
      </c>
      <c r="I2" s="2">
        <v>0.36120202699999998</v>
      </c>
      <c r="J2" s="2">
        <v>6.2871207189999998</v>
      </c>
      <c r="K2" s="2">
        <v>0.21095582500000001</v>
      </c>
      <c r="L2" s="2">
        <f>$D2/G2</f>
        <v>0.22625901803206647</v>
      </c>
      <c r="M2" s="1" t="s">
        <v>10</v>
      </c>
      <c r="N2" s="4" t="s">
        <v>12</v>
      </c>
      <c r="O2" s="5">
        <v>19.452788684000001</v>
      </c>
      <c r="P2" s="5">
        <v>6.3525639999999998E-3</v>
      </c>
      <c r="Q2" s="5">
        <v>0.53230129400000004</v>
      </c>
      <c r="R2" s="5">
        <v>5.3612299940000003</v>
      </c>
      <c r="S2" s="5">
        <v>1.1800483E-2</v>
      </c>
      <c r="T2" s="5">
        <f>G2/O2</f>
        <v>1.1245965680485464</v>
      </c>
      <c r="U2" s="5">
        <f>$D2/O2</f>
        <v>0.25445011516889615</v>
      </c>
      <c r="V2" s="4" t="s">
        <v>10</v>
      </c>
      <c r="W2" s="10" t="s">
        <v>109</v>
      </c>
      <c r="X2" s="10">
        <v>26.586244280999999</v>
      </c>
      <c r="Y2" s="10">
        <f>$D2/X2</f>
        <v>0.18617764392307851</v>
      </c>
      <c r="Z2" s="10" t="s">
        <v>10</v>
      </c>
      <c r="AA2" s="7" t="s">
        <v>106</v>
      </c>
      <c r="AB2" s="9">
        <f>MIN(G2,O2)</f>
        <v>19.452788684000001</v>
      </c>
      <c r="AC2" s="9">
        <f>X2/AB2</f>
        <v>1.3667060652783061</v>
      </c>
      <c r="AD2" s="9">
        <f>$D2/AB2</f>
        <v>0.25445011516889615</v>
      </c>
      <c r="AE2" s="7" t="str">
        <f>IF(AND(M2="Failed", V2="Failed"), "Failed", "Passed")</f>
        <v>Passed</v>
      </c>
      <c r="AF2" s="14" t="s">
        <v>115</v>
      </c>
      <c r="AG2" s="14">
        <v>5.5449751909999998</v>
      </c>
      <c r="AH2" s="14" t="s">
        <v>10</v>
      </c>
      <c r="AI2">
        <v>15</v>
      </c>
      <c r="AJ2">
        <v>0</v>
      </c>
    </row>
    <row r="3" spans="1:37" x14ac:dyDescent="0.2">
      <c r="A3" t="s">
        <v>14</v>
      </c>
      <c r="B3">
        <v>3</v>
      </c>
      <c r="C3" s="14" t="s">
        <v>112</v>
      </c>
      <c r="D3" s="14">
        <v>2.0812343050000002</v>
      </c>
      <c r="E3" s="14" t="s">
        <v>10</v>
      </c>
      <c r="F3" s="1" t="s">
        <v>9</v>
      </c>
      <c r="G3" s="2">
        <v>0.40812189900000001</v>
      </c>
      <c r="H3" s="2">
        <v>1.7264299999999999E-4</v>
      </c>
      <c r="I3" s="2">
        <v>1.95904E-4</v>
      </c>
      <c r="J3" s="2">
        <v>5.0594234000000002E-2</v>
      </c>
      <c r="K3" s="2">
        <v>6.1062605999999998E-2</v>
      </c>
      <c r="L3" s="2">
        <f t="shared" ref="L3:L66" si="0">$D3/G3</f>
        <v>5.0995408727136207</v>
      </c>
      <c r="M3" s="1" t="s">
        <v>10</v>
      </c>
      <c r="N3" s="4" t="s">
        <v>12</v>
      </c>
      <c r="O3" s="5">
        <v>0.21809766</v>
      </c>
      <c r="P3" s="5">
        <v>2.0964399999999999E-4</v>
      </c>
      <c r="Q3" s="5">
        <v>4.6840599999999999E-4</v>
      </c>
      <c r="R3" s="5">
        <v>1.7068854000000001E-2</v>
      </c>
      <c r="S3" s="5">
        <v>1.8119797E-2</v>
      </c>
      <c r="T3" s="5">
        <f t="shared" ref="T3:T66" si="1">G3/O3</f>
        <v>1.8712805034221827</v>
      </c>
      <c r="U3" s="5">
        <f>$D3/O3</f>
        <v>9.54267141151354</v>
      </c>
      <c r="V3" s="4" t="s">
        <v>10</v>
      </c>
      <c r="W3" s="10" t="s">
        <v>109</v>
      </c>
      <c r="X3" s="10">
        <v>0.40241400999999999</v>
      </c>
      <c r="Y3" s="10">
        <f t="shared" ref="Y3:Y66" si="2">$D3/X3</f>
        <v>5.1718733773707335</v>
      </c>
      <c r="Z3" s="10" t="s">
        <v>10</v>
      </c>
      <c r="AA3" s="7" t="s">
        <v>106</v>
      </c>
      <c r="AB3" s="9">
        <f>MIN(G3,O3)</f>
        <v>0.21809766</v>
      </c>
      <c r="AC3" s="9">
        <f t="shared" ref="AC3:AC66" si="3">X3/AB3</f>
        <v>1.8451092505990205</v>
      </c>
      <c r="AD3" s="9">
        <f t="shared" ref="AC3:AD66" si="4">$D3/AB3</f>
        <v>9.54267141151354</v>
      </c>
      <c r="AE3" s="7" t="str">
        <f>IF(AND(M3="Failed", V3="Failed"), "Failed", "Passed")</f>
        <v>Passed</v>
      </c>
      <c r="AF3" s="14" t="s">
        <v>115</v>
      </c>
      <c r="AG3" s="14">
        <v>2.0469346700000002</v>
      </c>
      <c r="AH3" s="14" t="s">
        <v>10</v>
      </c>
      <c r="AI3">
        <v>19</v>
      </c>
      <c r="AJ3">
        <v>0</v>
      </c>
    </row>
    <row r="4" spans="1:37" x14ac:dyDescent="0.2">
      <c r="A4" t="s">
        <v>15</v>
      </c>
      <c r="B4">
        <v>3</v>
      </c>
      <c r="C4" s="14" t="s">
        <v>112</v>
      </c>
      <c r="D4" s="14">
        <v>1.9981652050000001</v>
      </c>
      <c r="E4" s="14" t="s">
        <v>10</v>
      </c>
      <c r="F4" s="1" t="s">
        <v>9</v>
      </c>
      <c r="G4" s="2">
        <v>0.92866968299999997</v>
      </c>
      <c r="H4" s="2">
        <v>7.44201E-4</v>
      </c>
      <c r="I4" s="2">
        <v>8.1496300000000004E-4</v>
      </c>
      <c r="J4" s="2">
        <v>7.1115558999999995E-2</v>
      </c>
      <c r="K4" s="2">
        <v>0.20626792199999999</v>
      </c>
      <c r="L4" s="2">
        <f t="shared" si="0"/>
        <v>2.1516425501746461</v>
      </c>
      <c r="M4" s="1" t="s">
        <v>10</v>
      </c>
      <c r="N4" s="4" t="s">
        <v>12</v>
      </c>
      <c r="O4" s="5">
        <v>0.380991042</v>
      </c>
      <c r="P4" s="5">
        <v>5.6291499999999999E-4</v>
      </c>
      <c r="Q4" s="5">
        <v>4.5930270000000004E-3</v>
      </c>
      <c r="R4" s="5">
        <v>8.5750372000000005E-2</v>
      </c>
      <c r="S4" s="5">
        <v>1.3625702999999999E-2</v>
      </c>
      <c r="T4" s="5">
        <f t="shared" si="1"/>
        <v>2.4375105465078097</v>
      </c>
      <c r="U4" s="5">
        <f>$D4/O4</f>
        <v>5.2446514083656597</v>
      </c>
      <c r="V4" s="4" t="s">
        <v>10</v>
      </c>
      <c r="W4" s="10" t="s">
        <v>109</v>
      </c>
      <c r="X4" s="10">
        <v>0.32861912700000001</v>
      </c>
      <c r="Y4" s="10">
        <f t="shared" si="2"/>
        <v>6.0804896636463894</v>
      </c>
      <c r="Z4" s="10" t="s">
        <v>10</v>
      </c>
      <c r="AA4" s="7" t="s">
        <v>106</v>
      </c>
      <c r="AB4" s="9">
        <f>MIN(G4,O4)</f>
        <v>0.380991042</v>
      </c>
      <c r="AC4" s="9">
        <f t="shared" si="3"/>
        <v>0.86253767352356803</v>
      </c>
      <c r="AD4" s="9">
        <f t="shared" si="4"/>
        <v>5.2446514083656597</v>
      </c>
      <c r="AE4" s="7" t="str">
        <f>IF(AND(M4="Failed", V4="Failed"), "Failed", "Passed")</f>
        <v>Passed</v>
      </c>
      <c r="AF4" s="14" t="s">
        <v>115</v>
      </c>
      <c r="AG4" s="14">
        <v>1.2667851619999999</v>
      </c>
      <c r="AH4" s="14" t="s">
        <v>10</v>
      </c>
      <c r="AI4">
        <v>21</v>
      </c>
      <c r="AJ4">
        <v>0</v>
      </c>
    </row>
    <row r="5" spans="1:37" x14ac:dyDescent="0.2">
      <c r="A5" t="s">
        <v>16</v>
      </c>
      <c r="B5">
        <v>3</v>
      </c>
      <c r="C5" s="14" t="s">
        <v>112</v>
      </c>
      <c r="D5" s="14">
        <v>2.3601327950000002</v>
      </c>
      <c r="E5" s="14" t="s">
        <v>10</v>
      </c>
      <c r="F5" s="1" t="s">
        <v>9</v>
      </c>
      <c r="G5" s="2">
        <v>6.9419294919999999</v>
      </c>
      <c r="H5" s="2">
        <v>4.68107E-4</v>
      </c>
      <c r="I5" s="2">
        <v>0.151471997</v>
      </c>
      <c r="J5" s="2">
        <v>1.573271987</v>
      </c>
      <c r="K5" s="2">
        <v>0.498432231</v>
      </c>
      <c r="L5" s="2">
        <f t="shared" si="0"/>
        <v>0.33998224812278172</v>
      </c>
      <c r="M5" s="1" t="s">
        <v>10</v>
      </c>
      <c r="N5" s="4" t="s">
        <v>12</v>
      </c>
      <c r="O5" s="5">
        <v>4.0388131669999998</v>
      </c>
      <c r="P5" s="5">
        <v>5.6991099999999999E-4</v>
      </c>
      <c r="Q5" s="5">
        <v>0.22161789300000001</v>
      </c>
      <c r="R5" s="5">
        <v>1.018802043</v>
      </c>
      <c r="S5" s="5">
        <v>8.7725585999999994E-2</v>
      </c>
      <c r="T5" s="5">
        <f t="shared" si="1"/>
        <v>1.7188043132870177</v>
      </c>
      <c r="U5" s="5">
        <f>$D5/O5</f>
        <v>0.5843629545144543</v>
      </c>
      <c r="V5" s="4" t="s">
        <v>10</v>
      </c>
      <c r="W5" s="10" t="s">
        <v>109</v>
      </c>
      <c r="X5" s="10">
        <v>5.3336694859999998</v>
      </c>
      <c r="Y5" s="10">
        <f t="shared" si="2"/>
        <v>0.44249700908445083</v>
      </c>
      <c r="Z5" s="10" t="s">
        <v>10</v>
      </c>
      <c r="AA5" s="7" t="s">
        <v>106</v>
      </c>
      <c r="AB5" s="9">
        <f>MIN(G5,O5)</f>
        <v>4.0388131669999998</v>
      </c>
      <c r="AC5" s="9">
        <f t="shared" si="3"/>
        <v>1.3206031736203856</v>
      </c>
      <c r="AD5" s="9">
        <f t="shared" si="4"/>
        <v>0.5843629545144543</v>
      </c>
      <c r="AE5" s="7" t="str">
        <f>IF(AND(M5="Failed", V5="Failed"), "Failed", "Passed")</f>
        <v>Passed</v>
      </c>
      <c r="AF5" s="14" t="s">
        <v>115</v>
      </c>
      <c r="AG5" s="14">
        <v>2.2191155930000002</v>
      </c>
      <c r="AH5" s="14" t="s">
        <v>10</v>
      </c>
      <c r="AI5">
        <v>20</v>
      </c>
      <c r="AJ5">
        <v>0</v>
      </c>
    </row>
    <row r="6" spans="1:37" x14ac:dyDescent="0.2">
      <c r="A6" t="s">
        <v>17</v>
      </c>
      <c r="B6">
        <v>3</v>
      </c>
      <c r="C6" s="14" t="s">
        <v>112</v>
      </c>
      <c r="D6" s="14">
        <v>1.0877620480000001</v>
      </c>
      <c r="E6" s="14" t="s">
        <v>10</v>
      </c>
      <c r="F6" s="1" t="s">
        <v>9</v>
      </c>
      <c r="G6" s="2">
        <v>0.32110454999999999</v>
      </c>
      <c r="H6" s="2">
        <v>1.1142900000000001E-4</v>
      </c>
      <c r="I6" s="2">
        <v>1.17371E-4</v>
      </c>
      <c r="J6" s="2">
        <v>4.0535662E-2</v>
      </c>
      <c r="K6" s="2">
        <v>5.5000991999999999E-2</v>
      </c>
      <c r="L6" s="2">
        <f t="shared" si="0"/>
        <v>3.3875634836068196</v>
      </c>
      <c r="M6" s="1" t="s">
        <v>10</v>
      </c>
      <c r="N6" s="4" t="s">
        <v>12</v>
      </c>
      <c r="O6" s="5">
        <v>9.7305900000000001E-2</v>
      </c>
      <c r="P6" s="5">
        <v>9.3831000000000003E-5</v>
      </c>
      <c r="Q6" s="5">
        <v>1.36599E-4</v>
      </c>
      <c r="R6" s="5">
        <v>1.2927655E-2</v>
      </c>
      <c r="S6" s="5">
        <v>8.3911430000000002E-3</v>
      </c>
      <c r="T6" s="5">
        <f t="shared" si="1"/>
        <v>3.2999494378038738</v>
      </c>
      <c r="U6" s="5">
        <f>$D6/O6</f>
        <v>11.178788213253258</v>
      </c>
      <c r="V6" s="4" t="s">
        <v>10</v>
      </c>
      <c r="W6" s="10" t="s">
        <v>109</v>
      </c>
      <c r="X6" s="10">
        <v>0.14476291499999999</v>
      </c>
      <c r="Y6" s="10">
        <f t="shared" si="2"/>
        <v>7.5140932883259515</v>
      </c>
      <c r="Z6" s="10" t="s">
        <v>10</v>
      </c>
      <c r="AA6" s="7" t="s">
        <v>106</v>
      </c>
      <c r="AB6" s="9">
        <f>MIN(G6,O6)</f>
        <v>9.7305900000000001E-2</v>
      </c>
      <c r="AC6" s="9">
        <f t="shared" si="3"/>
        <v>1.4877095325155001</v>
      </c>
      <c r="AD6" s="9">
        <f t="shared" si="4"/>
        <v>11.178788213253258</v>
      </c>
      <c r="AE6" s="7" t="str">
        <f>IF(AND(M6="Failed", V6="Failed"), "Failed", "Passed")</f>
        <v>Passed</v>
      </c>
      <c r="AF6" s="14" t="s">
        <v>115</v>
      </c>
      <c r="AG6" s="14">
        <v>0.984168763</v>
      </c>
      <c r="AH6" s="14" t="s">
        <v>10</v>
      </c>
      <c r="AI6">
        <v>20</v>
      </c>
      <c r="AJ6">
        <v>0</v>
      </c>
    </row>
    <row r="7" spans="1:37" x14ac:dyDescent="0.2">
      <c r="A7" t="s">
        <v>18</v>
      </c>
      <c r="B7">
        <v>3</v>
      </c>
      <c r="C7" s="14" t="s">
        <v>112</v>
      </c>
      <c r="D7" s="14">
        <v>2.4390102050000002</v>
      </c>
      <c r="E7" s="14" t="s">
        <v>10</v>
      </c>
      <c r="F7" s="1" t="s">
        <v>9</v>
      </c>
      <c r="G7" s="2">
        <v>3.9615916470000001</v>
      </c>
      <c r="H7" s="2">
        <v>4.2541200000000001E-4</v>
      </c>
      <c r="I7" s="2">
        <v>8.1451189999999993E-3</v>
      </c>
      <c r="J7" s="2">
        <v>0.26562865299999999</v>
      </c>
      <c r="K7" s="2">
        <v>1.0327279549999999</v>
      </c>
      <c r="L7" s="2">
        <f t="shared" si="0"/>
        <v>0.61566421335904042</v>
      </c>
      <c r="M7" s="1" t="s">
        <v>10</v>
      </c>
      <c r="N7" s="4" t="s">
        <v>12</v>
      </c>
      <c r="O7" s="5">
        <v>0.92226338799999996</v>
      </c>
      <c r="P7" s="5">
        <v>6.3646999999999998E-4</v>
      </c>
      <c r="Q7" s="5">
        <v>4.9346448000000001E-2</v>
      </c>
      <c r="R7" s="5">
        <v>0.220985406</v>
      </c>
      <c r="S7" s="5">
        <v>2.4015696E-2</v>
      </c>
      <c r="T7" s="5">
        <f t="shared" si="1"/>
        <v>4.2955100446858463</v>
      </c>
      <c r="U7" s="5">
        <f>$D7/O7</f>
        <v>2.6445918126373682</v>
      </c>
      <c r="V7" s="4" t="s">
        <v>10</v>
      </c>
      <c r="W7" s="10" t="s">
        <v>109</v>
      </c>
      <c r="X7" s="10">
        <v>3.1916128370000001</v>
      </c>
      <c r="Y7" s="10">
        <f t="shared" si="2"/>
        <v>0.76419363173528942</v>
      </c>
      <c r="Z7" s="10" t="s">
        <v>10</v>
      </c>
      <c r="AA7" s="7" t="s">
        <v>106</v>
      </c>
      <c r="AB7" s="9">
        <f>MIN(G7,O7)</f>
        <v>0.92226338799999996</v>
      </c>
      <c r="AC7" s="9">
        <f t="shared" si="3"/>
        <v>3.4606305297679238</v>
      </c>
      <c r="AD7" s="9">
        <f t="shared" si="4"/>
        <v>2.6445918126373682</v>
      </c>
      <c r="AE7" s="7" t="str">
        <f>IF(AND(M7="Failed", V7="Failed"), "Failed", "Passed")</f>
        <v>Passed</v>
      </c>
      <c r="AF7" s="14" t="s">
        <v>115</v>
      </c>
      <c r="AG7" s="14">
        <v>2.4377551820000001</v>
      </c>
      <c r="AH7" s="14" t="s">
        <v>10</v>
      </c>
      <c r="AI7">
        <v>22</v>
      </c>
      <c r="AJ7">
        <v>0</v>
      </c>
    </row>
    <row r="8" spans="1:37" x14ac:dyDescent="0.2">
      <c r="A8" t="s">
        <v>19</v>
      </c>
      <c r="B8">
        <v>3</v>
      </c>
      <c r="C8" s="14" t="s">
        <v>112</v>
      </c>
      <c r="D8" s="14">
        <v>1.3290999809999999</v>
      </c>
      <c r="E8" s="14" t="s">
        <v>10</v>
      </c>
      <c r="F8" s="1" t="s">
        <v>9</v>
      </c>
      <c r="G8" s="2">
        <v>0.33430544499999998</v>
      </c>
      <c r="H8" s="2">
        <v>1.15278E-4</v>
      </c>
      <c r="I8" s="2">
        <v>1.97164E-4</v>
      </c>
      <c r="J8" s="2">
        <v>4.4806261E-2</v>
      </c>
      <c r="K8" s="2">
        <v>5.2274585999999998E-2</v>
      </c>
      <c r="L8" s="2">
        <f t="shared" si="0"/>
        <v>3.9757054540347077</v>
      </c>
      <c r="M8" s="1" t="s">
        <v>10</v>
      </c>
      <c r="N8" s="4" t="s">
        <v>12</v>
      </c>
      <c r="O8" s="5">
        <v>0.106237951</v>
      </c>
      <c r="P8" s="5">
        <v>9.9306000000000001E-5</v>
      </c>
      <c r="Q8" s="5">
        <v>1.39283E-4</v>
      </c>
      <c r="R8" s="5">
        <v>1.2288241E-2</v>
      </c>
      <c r="S8" s="5">
        <v>1.407488E-2</v>
      </c>
      <c r="T8" s="5">
        <f t="shared" si="1"/>
        <v>3.1467610383411855</v>
      </c>
      <c r="U8" s="5">
        <f>$D8/O8</f>
        <v>12.510595022676972</v>
      </c>
      <c r="V8" s="4" t="s">
        <v>10</v>
      </c>
      <c r="W8" s="10" t="s">
        <v>109</v>
      </c>
      <c r="X8" s="10">
        <v>0.24350176300000001</v>
      </c>
      <c r="Y8" s="10">
        <f t="shared" si="2"/>
        <v>5.4582766244694492</v>
      </c>
      <c r="Z8" s="10" t="s">
        <v>10</v>
      </c>
      <c r="AA8" s="7" t="s">
        <v>106</v>
      </c>
      <c r="AB8" s="9">
        <f>MIN(G8,O8)</f>
        <v>0.106237951</v>
      </c>
      <c r="AC8" s="9">
        <f t="shared" si="3"/>
        <v>2.2920412216911075</v>
      </c>
      <c r="AD8" s="9">
        <f t="shared" si="4"/>
        <v>12.510595022676972</v>
      </c>
      <c r="AE8" s="7" t="str">
        <f>IF(AND(M8="Failed", V8="Failed"), "Failed", "Passed")</f>
        <v>Passed</v>
      </c>
      <c r="AF8" s="14" t="s">
        <v>115</v>
      </c>
      <c r="AG8" s="14">
        <v>1.2709115710000001</v>
      </c>
      <c r="AH8" s="14" t="s">
        <v>10</v>
      </c>
      <c r="AI8">
        <v>20</v>
      </c>
      <c r="AJ8">
        <v>0</v>
      </c>
    </row>
    <row r="9" spans="1:37" x14ac:dyDescent="0.2">
      <c r="A9" t="s">
        <v>20</v>
      </c>
      <c r="B9">
        <v>3</v>
      </c>
      <c r="C9" s="14" t="s">
        <v>112</v>
      </c>
      <c r="D9" s="14">
        <v>0.92366856900000005</v>
      </c>
      <c r="E9" s="14" t="s">
        <v>10</v>
      </c>
      <c r="F9" s="1" t="s">
        <v>9</v>
      </c>
      <c r="G9" s="2">
        <v>0.36843000999999997</v>
      </c>
      <c r="H9" s="2">
        <v>1.2285099999999999E-4</v>
      </c>
      <c r="I9" s="2">
        <v>2.0655099999999999E-4</v>
      </c>
      <c r="J9" s="2">
        <v>6.5160840999999997E-2</v>
      </c>
      <c r="K9" s="2">
        <v>4.7826318E-2</v>
      </c>
      <c r="L9" s="2">
        <f t="shared" si="0"/>
        <v>2.5070394482794716</v>
      </c>
      <c r="M9" s="1" t="s">
        <v>10</v>
      </c>
      <c r="N9" s="4" t="s">
        <v>12</v>
      </c>
      <c r="O9" s="5">
        <v>0.107217335</v>
      </c>
      <c r="P9" s="5">
        <v>8.4050999999999999E-5</v>
      </c>
      <c r="Q9" s="5">
        <v>9.0074000000000005E-5</v>
      </c>
      <c r="R9" s="5">
        <v>1.1749838E-2</v>
      </c>
      <c r="S9" s="5">
        <v>1.5236735E-2</v>
      </c>
      <c r="T9" s="5">
        <f t="shared" si="1"/>
        <v>3.4362914355220635</v>
      </c>
      <c r="U9" s="5">
        <f>$D9/O9</f>
        <v>8.6149181846387073</v>
      </c>
      <c r="V9" s="4" t="s">
        <v>10</v>
      </c>
      <c r="W9" s="10" t="s">
        <v>109</v>
      </c>
      <c r="X9" s="10">
        <v>0.14511538900000001</v>
      </c>
      <c r="Y9" s="10">
        <f t="shared" si="2"/>
        <v>6.365062832860545</v>
      </c>
      <c r="Z9" s="10" t="s">
        <v>10</v>
      </c>
      <c r="AA9" s="7" t="s">
        <v>106</v>
      </c>
      <c r="AB9" s="9">
        <f>MIN(G9,O9)</f>
        <v>0.107217335</v>
      </c>
      <c r="AC9" s="9">
        <f t="shared" si="3"/>
        <v>1.35346946461596</v>
      </c>
      <c r="AD9" s="9">
        <f t="shared" si="4"/>
        <v>8.6149181846387073</v>
      </c>
      <c r="AE9" s="7" t="str">
        <f>IF(AND(M9="Failed", V9="Failed"), "Failed", "Passed")</f>
        <v>Passed</v>
      </c>
      <c r="AF9" s="14" t="s">
        <v>115</v>
      </c>
      <c r="AG9" s="14">
        <v>0.88188731200000003</v>
      </c>
      <c r="AH9" s="14" t="s">
        <v>10</v>
      </c>
      <c r="AI9">
        <v>25</v>
      </c>
      <c r="AJ9">
        <v>0</v>
      </c>
    </row>
    <row r="10" spans="1:37" x14ac:dyDescent="0.2">
      <c r="A10" t="s">
        <v>21</v>
      </c>
      <c r="B10">
        <v>3</v>
      </c>
      <c r="C10" s="14" t="s">
        <v>112</v>
      </c>
      <c r="D10" s="14">
        <v>52.471197253</v>
      </c>
      <c r="E10" s="14" t="s">
        <v>10</v>
      </c>
      <c r="F10" s="1" t="s">
        <v>9</v>
      </c>
      <c r="G10" s="2">
        <v>49.027455555000003</v>
      </c>
      <c r="H10" s="2">
        <v>7.1667499999999995E-4</v>
      </c>
      <c r="I10" s="2">
        <v>0.26556576999999998</v>
      </c>
      <c r="J10" s="2">
        <v>2.3896362679999998</v>
      </c>
      <c r="K10" s="2">
        <v>13.671101223000001</v>
      </c>
      <c r="L10" s="2">
        <f t="shared" si="0"/>
        <v>1.0702410855104796</v>
      </c>
      <c r="M10" s="1" t="s">
        <v>11</v>
      </c>
      <c r="N10" s="4" t="s">
        <v>12</v>
      </c>
      <c r="O10" s="5">
        <v>7.2145574799999999</v>
      </c>
      <c r="P10" s="5">
        <v>5.23818E-4</v>
      </c>
      <c r="Q10" s="5">
        <v>0.27146941099999999</v>
      </c>
      <c r="R10" s="5">
        <v>2.0951271660000002</v>
      </c>
      <c r="S10" s="5">
        <v>2.5605998000000001E-2</v>
      </c>
      <c r="T10" s="5">
        <f t="shared" si="1"/>
        <v>6.7956289337097369</v>
      </c>
      <c r="U10" s="5">
        <f>$D10/O10</f>
        <v>7.2729612867399318</v>
      </c>
      <c r="V10" s="4" t="s">
        <v>10</v>
      </c>
      <c r="W10" s="10" t="s">
        <v>109</v>
      </c>
      <c r="X10" s="10">
        <v>9.4925691289999996</v>
      </c>
      <c r="Y10" s="10">
        <f t="shared" si="2"/>
        <v>5.5276075991587339</v>
      </c>
      <c r="Z10" s="10" t="s">
        <v>10</v>
      </c>
      <c r="AA10" s="7" t="s">
        <v>106</v>
      </c>
      <c r="AB10" s="9">
        <f>MIN(G10,O10)</f>
        <v>7.2145574799999999</v>
      </c>
      <c r="AC10" s="9">
        <f t="shared" si="3"/>
        <v>1.3157520964127103</v>
      </c>
      <c r="AD10" s="9">
        <f t="shared" si="4"/>
        <v>7.2729612867399318</v>
      </c>
      <c r="AE10" s="7" t="str">
        <f>IF(AND(M10="Failed", V10="Failed"), "Failed", "Passed")</f>
        <v>Passed</v>
      </c>
      <c r="AF10" s="14" t="s">
        <v>115</v>
      </c>
      <c r="AG10" s="14">
        <v>48.301699184</v>
      </c>
      <c r="AH10" s="14" t="s">
        <v>10</v>
      </c>
      <c r="AI10">
        <v>21</v>
      </c>
      <c r="AJ10">
        <v>0</v>
      </c>
    </row>
    <row r="11" spans="1:37" x14ac:dyDescent="0.2">
      <c r="A11" t="s">
        <v>22</v>
      </c>
      <c r="B11">
        <v>3</v>
      </c>
      <c r="C11" s="14" t="s">
        <v>112</v>
      </c>
      <c r="D11" s="14">
        <v>1.648529455</v>
      </c>
      <c r="E11" s="14" t="s">
        <v>10</v>
      </c>
      <c r="F11" s="1" t="s">
        <v>9</v>
      </c>
      <c r="G11" s="2">
        <v>0.42052060600000002</v>
      </c>
      <c r="H11" s="2">
        <v>7.4093999999999999E-5</v>
      </c>
      <c r="I11" s="2">
        <v>3.2542399999999999E-4</v>
      </c>
      <c r="J11" s="2">
        <v>4.5968830000000002E-2</v>
      </c>
      <c r="K11" s="2">
        <v>8.1425577999999998E-2</v>
      </c>
      <c r="L11" s="2">
        <f t="shared" si="0"/>
        <v>3.9202108802249751</v>
      </c>
      <c r="M11" s="1" t="s">
        <v>10</v>
      </c>
      <c r="N11" s="4" t="s">
        <v>12</v>
      </c>
      <c r="O11" s="5">
        <v>9.4781067999999996E-2</v>
      </c>
      <c r="P11" s="5">
        <v>8.4030999999999996E-5</v>
      </c>
      <c r="Q11" s="5">
        <v>2.3072500000000001E-4</v>
      </c>
      <c r="R11" s="5">
        <v>1.0027016E-2</v>
      </c>
      <c r="S11" s="5">
        <v>1.2652475E-2</v>
      </c>
      <c r="T11" s="5">
        <f t="shared" si="1"/>
        <v>4.43675741235581</v>
      </c>
      <c r="U11" s="5">
        <f>$D11/O11</f>
        <v>17.393024680836053</v>
      </c>
      <c r="V11" s="4" t="s">
        <v>10</v>
      </c>
      <c r="W11" s="10" t="s">
        <v>109</v>
      </c>
      <c r="X11" s="10">
        <v>0.46839293100000001</v>
      </c>
      <c r="Y11" s="10">
        <f t="shared" si="2"/>
        <v>3.5195438399987298</v>
      </c>
      <c r="Z11" s="10" t="s">
        <v>10</v>
      </c>
      <c r="AA11" s="7" t="s">
        <v>106</v>
      </c>
      <c r="AB11" s="9">
        <f>MIN(G11,O11)</f>
        <v>9.4781067999999996E-2</v>
      </c>
      <c r="AC11" s="9">
        <f t="shared" si="3"/>
        <v>4.9418406110384829</v>
      </c>
      <c r="AD11" s="9">
        <f t="shared" si="4"/>
        <v>17.393024680836053</v>
      </c>
      <c r="AE11" s="7" t="str">
        <f>IF(AND(M11="Failed", V11="Failed"), "Failed", "Passed")</f>
        <v>Passed</v>
      </c>
      <c r="AF11" s="14" t="s">
        <v>115</v>
      </c>
      <c r="AG11" s="14">
        <v>1.210856916</v>
      </c>
      <c r="AH11" s="14" t="s">
        <v>10</v>
      </c>
      <c r="AI11">
        <v>25</v>
      </c>
      <c r="AJ11">
        <v>0</v>
      </c>
    </row>
    <row r="12" spans="1:37" x14ac:dyDescent="0.2">
      <c r="A12" t="s">
        <v>23</v>
      </c>
      <c r="B12">
        <v>3</v>
      </c>
      <c r="C12" s="14" t="s">
        <v>112</v>
      </c>
      <c r="D12" s="14">
        <v>0.88506200999999995</v>
      </c>
      <c r="E12" s="14" t="s">
        <v>10</v>
      </c>
      <c r="F12" s="1" t="s">
        <v>9</v>
      </c>
      <c r="G12" s="2">
        <v>0.38311585300000001</v>
      </c>
      <c r="H12" s="2">
        <v>1.2259400000000001E-4</v>
      </c>
      <c r="I12" s="2">
        <v>1.110165E-3</v>
      </c>
      <c r="J12" s="2">
        <v>8.6860491999999997E-2</v>
      </c>
      <c r="K12" s="2">
        <v>3.4037049999999999E-2</v>
      </c>
      <c r="L12" s="2">
        <f t="shared" si="0"/>
        <v>2.3101680681430845</v>
      </c>
      <c r="M12" s="1" t="s">
        <v>10</v>
      </c>
      <c r="N12" s="4" t="s">
        <v>12</v>
      </c>
      <c r="O12" s="5">
        <v>0.44429142399999999</v>
      </c>
      <c r="P12" s="5">
        <v>1.2984499999999999E-4</v>
      </c>
      <c r="Q12" s="5">
        <v>1.863427E-3</v>
      </c>
      <c r="R12" s="5">
        <v>0.13043769099999999</v>
      </c>
      <c r="S12" s="5">
        <v>8.0612510000000002E-3</v>
      </c>
      <c r="T12" s="5">
        <f t="shared" si="1"/>
        <v>0.86230755829309014</v>
      </c>
      <c r="U12" s="5">
        <f>$D12/O12</f>
        <v>1.9920753860871281</v>
      </c>
      <c r="V12" s="4" t="s">
        <v>10</v>
      </c>
      <c r="W12" s="10" t="s">
        <v>109</v>
      </c>
      <c r="X12" s="10">
        <v>0.24997444399999999</v>
      </c>
      <c r="Y12" s="10">
        <f t="shared" si="2"/>
        <v>3.5406099753141165</v>
      </c>
      <c r="Z12" s="10" t="s">
        <v>10</v>
      </c>
      <c r="AA12" s="7" t="s">
        <v>106</v>
      </c>
      <c r="AB12" s="9">
        <f>MIN(G12,O12)</f>
        <v>0.38311585300000001</v>
      </c>
      <c r="AC12" s="9">
        <f t="shared" si="3"/>
        <v>0.65247742175785139</v>
      </c>
      <c r="AD12" s="9">
        <f t="shared" si="4"/>
        <v>2.3101680681430845</v>
      </c>
      <c r="AE12" s="7" t="str">
        <f>IF(AND(M12="Failed", V12="Failed"), "Failed", "Passed")</f>
        <v>Passed</v>
      </c>
      <c r="AF12" s="14" t="s">
        <v>115</v>
      </c>
      <c r="AG12" s="14">
        <v>0.98696533099999995</v>
      </c>
      <c r="AH12" s="14" t="s">
        <v>10</v>
      </c>
      <c r="AI12">
        <v>18</v>
      </c>
      <c r="AJ12">
        <v>0</v>
      </c>
    </row>
    <row r="13" spans="1:37" x14ac:dyDescent="0.2">
      <c r="A13" t="s">
        <v>24</v>
      </c>
      <c r="B13">
        <v>3</v>
      </c>
      <c r="C13" s="14" t="s">
        <v>112</v>
      </c>
      <c r="D13" s="14">
        <v>0.95949902899999995</v>
      </c>
      <c r="E13" s="14" t="s">
        <v>10</v>
      </c>
      <c r="F13" s="1" t="s">
        <v>9</v>
      </c>
      <c r="G13" s="2">
        <v>0.435920433</v>
      </c>
      <c r="H13" s="2">
        <v>8.5749999999999997E-5</v>
      </c>
      <c r="I13" s="2">
        <v>6.9276600000000004E-4</v>
      </c>
      <c r="J13" s="2">
        <v>6.9632553E-2</v>
      </c>
      <c r="K13" s="2">
        <v>6.6920002000000006E-2</v>
      </c>
      <c r="L13" s="2">
        <f t="shared" si="0"/>
        <v>2.2010875296593402</v>
      </c>
      <c r="M13" s="1" t="s">
        <v>10</v>
      </c>
      <c r="N13" s="4" t="s">
        <v>12</v>
      </c>
      <c r="O13" s="5">
        <v>0.11579674</v>
      </c>
      <c r="P13" s="5">
        <v>8.3070000000000003E-5</v>
      </c>
      <c r="Q13" s="5">
        <v>3.4644599999999998E-4</v>
      </c>
      <c r="R13" s="5">
        <v>1.5238715999999999E-2</v>
      </c>
      <c r="S13" s="5">
        <v>1.6412992000000001E-2</v>
      </c>
      <c r="T13" s="5">
        <f t="shared" si="1"/>
        <v>3.7645311344688981</v>
      </c>
      <c r="U13" s="5">
        <f>$D13/O13</f>
        <v>8.2860625350938211</v>
      </c>
      <c r="V13" s="4" t="s">
        <v>10</v>
      </c>
      <c r="W13" s="10" t="s">
        <v>109</v>
      </c>
      <c r="X13" s="10">
        <v>0.172814723</v>
      </c>
      <c r="Y13" s="10">
        <f t="shared" si="2"/>
        <v>5.5521833576644966</v>
      </c>
      <c r="Z13" s="10" t="s">
        <v>10</v>
      </c>
      <c r="AA13" s="7" t="s">
        <v>106</v>
      </c>
      <c r="AB13" s="9">
        <f>MIN(G13,O13)</f>
        <v>0.11579674</v>
      </c>
      <c r="AC13" s="9">
        <f t="shared" si="3"/>
        <v>1.4923971348416201</v>
      </c>
      <c r="AD13" s="9">
        <f t="shared" si="4"/>
        <v>8.2860625350938211</v>
      </c>
      <c r="AE13" s="7" t="str">
        <f>IF(AND(M13="Failed", V13="Failed"), "Failed", "Passed")</f>
        <v>Passed</v>
      </c>
      <c r="AF13" s="14" t="s">
        <v>115</v>
      </c>
      <c r="AG13" s="14">
        <v>0.93658886299999999</v>
      </c>
      <c r="AH13" s="14" t="s">
        <v>10</v>
      </c>
      <c r="AI13">
        <v>19</v>
      </c>
      <c r="AJ13">
        <v>0</v>
      </c>
    </row>
    <row r="14" spans="1:37" x14ac:dyDescent="0.2">
      <c r="A14" t="s">
        <v>25</v>
      </c>
      <c r="B14">
        <v>3</v>
      </c>
      <c r="C14" s="14" t="s">
        <v>112</v>
      </c>
      <c r="D14" s="14">
        <v>0.84640225700000005</v>
      </c>
      <c r="E14" s="14" t="s">
        <v>10</v>
      </c>
      <c r="F14" s="1" t="s">
        <v>9</v>
      </c>
      <c r="G14" s="2">
        <v>0.19329157</v>
      </c>
      <c r="H14" s="2">
        <v>5.9206999999999997E-5</v>
      </c>
      <c r="I14" s="2">
        <v>6.3195999999999996E-5</v>
      </c>
      <c r="J14" s="2">
        <v>2.2416551999999999E-2</v>
      </c>
      <c r="K14" s="2">
        <v>3.5482430000000002E-2</v>
      </c>
      <c r="L14" s="2">
        <f t="shared" si="0"/>
        <v>4.3788886240615668</v>
      </c>
      <c r="M14" s="1" t="s">
        <v>10</v>
      </c>
      <c r="N14" s="4" t="s">
        <v>12</v>
      </c>
      <c r="O14" s="5">
        <v>6.3260255000000001E-2</v>
      </c>
      <c r="P14" s="5">
        <v>5.9135999999999998E-5</v>
      </c>
      <c r="Q14" s="5">
        <v>6.9391E-5</v>
      </c>
      <c r="R14" s="5">
        <v>1.0145135E-2</v>
      </c>
      <c r="S14" s="5">
        <v>4.7029330000000003E-3</v>
      </c>
      <c r="T14" s="5">
        <f t="shared" si="1"/>
        <v>3.0554978003171183</v>
      </c>
      <c r="U14" s="5">
        <f>$D14/O14</f>
        <v>13.379684558653771</v>
      </c>
      <c r="V14" s="4" t="s">
        <v>10</v>
      </c>
      <c r="W14" s="10" t="s">
        <v>109</v>
      </c>
      <c r="X14" s="10">
        <v>0.19023957999999999</v>
      </c>
      <c r="Y14" s="10">
        <f t="shared" si="2"/>
        <v>4.4491385914539974</v>
      </c>
      <c r="Z14" s="10" t="s">
        <v>10</v>
      </c>
      <c r="AA14" s="7" t="s">
        <v>106</v>
      </c>
      <c r="AB14" s="9">
        <f>MIN(G14,O14)</f>
        <v>6.3260255000000001E-2</v>
      </c>
      <c r="AC14" s="9">
        <f t="shared" si="3"/>
        <v>3.0072528161639562</v>
      </c>
      <c r="AD14" s="9">
        <f t="shared" si="4"/>
        <v>13.379684558653771</v>
      </c>
      <c r="AE14" s="7" t="str">
        <f>IF(AND(M14="Failed", V14="Failed"), "Failed", "Passed")</f>
        <v>Passed</v>
      </c>
      <c r="AF14" s="14" t="s">
        <v>115</v>
      </c>
      <c r="AG14" s="14">
        <v>1.012710209</v>
      </c>
      <c r="AH14" s="14" t="s">
        <v>10</v>
      </c>
      <c r="AI14">
        <v>18</v>
      </c>
      <c r="AJ14">
        <v>0</v>
      </c>
    </row>
    <row r="15" spans="1:37" x14ac:dyDescent="0.2">
      <c r="A15" t="s">
        <v>26</v>
      </c>
      <c r="B15">
        <v>3</v>
      </c>
      <c r="C15" s="14" t="s">
        <v>112</v>
      </c>
      <c r="D15" s="14">
        <v>1.1328967969999999</v>
      </c>
      <c r="E15" s="14" t="s">
        <v>10</v>
      </c>
      <c r="F15" s="1" t="s">
        <v>9</v>
      </c>
      <c r="G15" s="2">
        <v>0.54782862700000001</v>
      </c>
      <c r="H15" s="2">
        <v>8.3961999999999993E-5</v>
      </c>
      <c r="I15" s="2">
        <v>6.0497600000000002E-4</v>
      </c>
      <c r="J15" s="2">
        <v>7.4705609000000006E-2</v>
      </c>
      <c r="K15" s="2">
        <v>0.100033994</v>
      </c>
      <c r="L15" s="2">
        <f t="shared" si="0"/>
        <v>2.0679766283918561</v>
      </c>
      <c r="M15" s="1" t="s">
        <v>10</v>
      </c>
      <c r="N15" s="4" t="s">
        <v>12</v>
      </c>
      <c r="O15" s="5">
        <v>0.158554894</v>
      </c>
      <c r="P15" s="5">
        <v>9.6397999999999994E-5</v>
      </c>
      <c r="Q15" s="5">
        <v>8.9623570000000007E-3</v>
      </c>
      <c r="R15" s="5">
        <v>2.7558999000000001E-2</v>
      </c>
      <c r="S15" s="5">
        <v>9.0317260000000003E-3</v>
      </c>
      <c r="T15" s="5">
        <f t="shared" si="1"/>
        <v>3.4551353993526055</v>
      </c>
      <c r="U15" s="5">
        <f>$D15/O15</f>
        <v>7.1451392537905507</v>
      </c>
      <c r="V15" s="4" t="s">
        <v>10</v>
      </c>
      <c r="W15" s="10" t="s">
        <v>109</v>
      </c>
      <c r="X15" s="10">
        <v>0.61736041100000005</v>
      </c>
      <c r="Y15" s="10">
        <f t="shared" si="2"/>
        <v>1.8350655092459431</v>
      </c>
      <c r="Z15" s="10" t="s">
        <v>10</v>
      </c>
      <c r="AA15" s="7" t="s">
        <v>106</v>
      </c>
      <c r="AB15" s="9">
        <f>MIN(G15,O15)</f>
        <v>0.158554894</v>
      </c>
      <c r="AC15" s="9">
        <f t="shared" si="3"/>
        <v>3.8936698541768129</v>
      </c>
      <c r="AD15" s="9">
        <f t="shared" si="4"/>
        <v>7.1451392537905507</v>
      </c>
      <c r="AE15" s="7" t="str">
        <f>IF(AND(M15="Failed", V15="Failed"), "Failed", "Passed")</f>
        <v>Passed</v>
      </c>
      <c r="AF15" s="14" t="s">
        <v>115</v>
      </c>
      <c r="AG15" s="14">
        <v>1.015332844</v>
      </c>
      <c r="AH15" s="14" t="s">
        <v>10</v>
      </c>
      <c r="AI15">
        <v>21</v>
      </c>
      <c r="AJ15">
        <v>0</v>
      </c>
    </row>
    <row r="16" spans="1:37" x14ac:dyDescent="0.2">
      <c r="A16" t="s">
        <v>27</v>
      </c>
      <c r="B16">
        <v>3</v>
      </c>
      <c r="C16" s="14" t="s">
        <v>112</v>
      </c>
      <c r="D16" s="14">
        <v>0.72190887100000001</v>
      </c>
      <c r="E16" s="14" t="s">
        <v>10</v>
      </c>
      <c r="F16" s="1" t="s">
        <v>9</v>
      </c>
      <c r="G16" s="2">
        <v>0.14488400900000001</v>
      </c>
      <c r="H16" s="2">
        <v>5.8264000000000003E-5</v>
      </c>
      <c r="I16" s="2">
        <v>4.0312000000000003E-5</v>
      </c>
      <c r="J16" s="2">
        <v>1.328083E-2</v>
      </c>
      <c r="K16" s="2">
        <v>2.1515449999999998E-2</v>
      </c>
      <c r="L16" s="2">
        <f t="shared" si="0"/>
        <v>4.9826676938515693</v>
      </c>
      <c r="M16" s="1" t="s">
        <v>11</v>
      </c>
      <c r="N16" s="4" t="s">
        <v>12</v>
      </c>
      <c r="O16" s="5">
        <v>8.9169919E-2</v>
      </c>
      <c r="P16" s="5">
        <v>5.0914000000000001E-5</v>
      </c>
      <c r="Q16" s="5">
        <v>2.9278E-5</v>
      </c>
      <c r="R16" s="5">
        <v>1.0962127E-2</v>
      </c>
      <c r="S16" s="5">
        <v>9.750781E-3</v>
      </c>
      <c r="T16" s="5">
        <f t="shared" si="1"/>
        <v>1.6248081261574321</v>
      </c>
      <c r="U16" s="5">
        <f>$D16/O16</f>
        <v>8.0958789589121416</v>
      </c>
      <c r="V16" s="4" t="s">
        <v>11</v>
      </c>
      <c r="W16" s="10" t="s">
        <v>109</v>
      </c>
      <c r="X16" s="10">
        <v>0.31148692100000003</v>
      </c>
      <c r="Y16" s="10">
        <f t="shared" si="2"/>
        <v>2.3176217758433584</v>
      </c>
      <c r="Z16" s="10" t="s">
        <v>11</v>
      </c>
      <c r="AA16" s="7" t="s">
        <v>106</v>
      </c>
      <c r="AB16" s="9">
        <f>MIN(G16,O16)</f>
        <v>8.9169919E-2</v>
      </c>
      <c r="AC16" s="9">
        <f t="shared" si="3"/>
        <v>3.4931838504866199</v>
      </c>
      <c r="AD16" s="9">
        <f t="shared" si="4"/>
        <v>8.0958789589121416</v>
      </c>
      <c r="AE16" s="7" t="str">
        <f>IF(AND(M16="Failed", V16="Failed"), "Failed", "Passed")</f>
        <v>Failed</v>
      </c>
      <c r="AF16" s="14" t="s">
        <v>115</v>
      </c>
      <c r="AG16" s="14">
        <v>0.77173025900000003</v>
      </c>
      <c r="AH16" s="14" t="s">
        <v>11</v>
      </c>
      <c r="AI16">
        <v>3</v>
      </c>
      <c r="AJ16">
        <v>3</v>
      </c>
      <c r="AK16" t="s">
        <v>116</v>
      </c>
    </row>
    <row r="17" spans="1:37" x14ac:dyDescent="0.2">
      <c r="A17" t="s">
        <v>28</v>
      </c>
      <c r="B17">
        <v>3</v>
      </c>
      <c r="C17" s="14" t="s">
        <v>112</v>
      </c>
      <c r="D17" s="14">
        <v>0.60347023</v>
      </c>
      <c r="E17" s="14" t="s">
        <v>10</v>
      </c>
      <c r="F17" s="1" t="s">
        <v>9</v>
      </c>
      <c r="G17" s="2">
        <v>0.117528601</v>
      </c>
      <c r="H17" s="2">
        <v>2.3692599999999999E-4</v>
      </c>
      <c r="I17" s="2">
        <v>6.9981000000000006E-5</v>
      </c>
      <c r="J17" s="2">
        <v>1.1637036999999999E-2</v>
      </c>
      <c r="K17" s="2">
        <v>2.3774953000000001E-2</v>
      </c>
      <c r="L17" s="2">
        <f t="shared" si="0"/>
        <v>5.1346670075652483</v>
      </c>
      <c r="M17" s="1" t="s">
        <v>11</v>
      </c>
      <c r="N17" s="4" t="s">
        <v>12</v>
      </c>
      <c r="O17" s="5">
        <v>7.2650693000000002E-2</v>
      </c>
      <c r="P17" s="5">
        <v>3.4747599999999999E-4</v>
      </c>
      <c r="Q17" s="5">
        <v>9.1891999999999994E-5</v>
      </c>
      <c r="R17" s="5">
        <v>1.4276277E-2</v>
      </c>
      <c r="S17" s="5">
        <v>4.9358049999999997E-3</v>
      </c>
      <c r="T17" s="5">
        <f t="shared" si="1"/>
        <v>1.6177216781676123</v>
      </c>
      <c r="U17" s="5">
        <f>$D17/O17</f>
        <v>8.3064621283103239</v>
      </c>
      <c r="V17" s="4" t="s">
        <v>11</v>
      </c>
      <c r="W17" s="10" t="s">
        <v>109</v>
      </c>
      <c r="X17" s="10">
        <v>0.36631818199999999</v>
      </c>
      <c r="Y17" s="10">
        <f t="shared" si="2"/>
        <v>1.6473936038479249</v>
      </c>
      <c r="Z17" s="10" t="s">
        <v>11</v>
      </c>
      <c r="AA17" s="7" t="s">
        <v>106</v>
      </c>
      <c r="AB17" s="9">
        <f>MIN(G17,O17)</f>
        <v>7.2650693000000002E-2</v>
      </c>
      <c r="AC17" s="9">
        <f t="shared" si="3"/>
        <v>5.0421842775814953</v>
      </c>
      <c r="AD17" s="9">
        <f t="shared" si="4"/>
        <v>8.3064621283103239</v>
      </c>
      <c r="AE17" s="7" t="str">
        <f>IF(AND(M17="Failed", V17="Failed"), "Failed", "Passed")</f>
        <v>Failed</v>
      </c>
      <c r="AF17" s="14" t="s">
        <v>115</v>
      </c>
      <c r="AG17" s="14">
        <v>0.61029163200000003</v>
      </c>
      <c r="AH17" s="14" t="s">
        <v>11</v>
      </c>
      <c r="AI17">
        <v>4</v>
      </c>
      <c r="AJ17">
        <v>1</v>
      </c>
      <c r="AK17" t="s">
        <v>116</v>
      </c>
    </row>
    <row r="18" spans="1:37" x14ac:dyDescent="0.2">
      <c r="A18" t="s">
        <v>29</v>
      </c>
      <c r="B18">
        <v>5</v>
      </c>
      <c r="C18" s="14" t="s">
        <v>112</v>
      </c>
      <c r="D18" s="14">
        <v>0.67110445100000005</v>
      </c>
      <c r="E18" s="14" t="s">
        <v>10</v>
      </c>
      <c r="F18" s="1" t="s">
        <v>9</v>
      </c>
      <c r="G18" s="2">
        <v>0.239067696</v>
      </c>
      <c r="H18" s="2">
        <v>2.9325000000000001E-5</v>
      </c>
      <c r="I18" s="2">
        <v>5.2660000000000001E-5</v>
      </c>
      <c r="J18" s="2">
        <v>1.5128275E-2</v>
      </c>
      <c r="K18" s="2">
        <v>3.0603455000000002E-2</v>
      </c>
      <c r="L18" s="2">
        <f t="shared" si="0"/>
        <v>2.8071732912003302</v>
      </c>
      <c r="M18" s="1" t="s">
        <v>11</v>
      </c>
      <c r="N18" s="4" t="s">
        <v>12</v>
      </c>
      <c r="O18" s="5">
        <v>0.102794053</v>
      </c>
      <c r="P18" s="5">
        <v>3.0932000000000001E-5</v>
      </c>
      <c r="Q18" s="5">
        <v>4.9740999999999997E-5</v>
      </c>
      <c r="R18" s="5">
        <v>1.2717753E-2</v>
      </c>
      <c r="S18" s="5">
        <v>5.5200370000000002E-3</v>
      </c>
      <c r="T18" s="5">
        <f t="shared" si="1"/>
        <v>2.32569578708994</v>
      </c>
      <c r="U18" s="5">
        <f>$D18/O18</f>
        <v>6.5286310969760093</v>
      </c>
      <c r="V18" s="4" t="s">
        <v>11</v>
      </c>
      <c r="W18" s="10" t="s">
        <v>109</v>
      </c>
      <c r="X18" s="10">
        <v>0.24505798400000001</v>
      </c>
      <c r="Y18" s="10">
        <f t="shared" si="2"/>
        <v>2.7385537089866863</v>
      </c>
      <c r="Z18" s="10" t="s">
        <v>11</v>
      </c>
      <c r="AA18" s="7" t="s">
        <v>106</v>
      </c>
      <c r="AB18" s="9">
        <f>MIN(G18,O18)</f>
        <v>0.102794053</v>
      </c>
      <c r="AC18" s="9">
        <f t="shared" si="3"/>
        <v>2.3839704423367762</v>
      </c>
      <c r="AD18" s="9">
        <f t="shared" si="4"/>
        <v>6.5286310969760093</v>
      </c>
      <c r="AE18" s="7" t="str">
        <f>IF(AND(M18="Failed", V18="Failed"), "Failed", "Passed")</f>
        <v>Failed</v>
      </c>
      <c r="AF18" s="14" t="s">
        <v>115</v>
      </c>
      <c r="AG18" s="14">
        <v>0.65594341700000003</v>
      </c>
      <c r="AH18" s="14" t="s">
        <v>11</v>
      </c>
      <c r="AI18">
        <v>2</v>
      </c>
      <c r="AJ18">
        <v>4</v>
      </c>
      <c r="AK18" t="s">
        <v>116</v>
      </c>
    </row>
    <row r="19" spans="1:37" x14ac:dyDescent="0.2">
      <c r="A19" t="s">
        <v>30</v>
      </c>
      <c r="B19">
        <v>1</v>
      </c>
      <c r="C19" s="14" t="s">
        <v>112</v>
      </c>
      <c r="D19" s="14">
        <v>0.80585220800000001</v>
      </c>
      <c r="E19" s="14" t="s">
        <v>10</v>
      </c>
      <c r="F19" s="1" t="s">
        <v>9</v>
      </c>
      <c r="G19" s="2">
        <v>8.584485E-2</v>
      </c>
      <c r="H19" s="2">
        <v>1.002593E-3</v>
      </c>
      <c r="I19" s="2">
        <v>1.840733E-3</v>
      </c>
      <c r="J19" s="2">
        <v>3.0673418000000001E-2</v>
      </c>
      <c r="K19" s="2">
        <v>2.9089566000000001E-2</v>
      </c>
      <c r="L19" s="2">
        <f t="shared" si="0"/>
        <v>9.3873098735684195</v>
      </c>
      <c r="M19" s="1" t="s">
        <v>10</v>
      </c>
      <c r="N19" s="4" t="s">
        <v>12</v>
      </c>
      <c r="O19" s="5">
        <v>5.3438014999999998E-2</v>
      </c>
      <c r="P19" s="5">
        <v>8.8419400000000004E-4</v>
      </c>
      <c r="Q19" s="5">
        <v>1.564251E-3</v>
      </c>
      <c r="R19" s="5">
        <v>1.7682842000000001E-2</v>
      </c>
      <c r="S19" s="5">
        <v>1.2751213000000001E-2</v>
      </c>
      <c r="T19" s="5">
        <f t="shared" si="1"/>
        <v>1.6064378514059701</v>
      </c>
      <c r="U19" s="5">
        <f>$D19/O19</f>
        <v>15.080129903777303</v>
      </c>
      <c r="V19" s="4" t="s">
        <v>10</v>
      </c>
      <c r="W19" s="10" t="s">
        <v>109</v>
      </c>
      <c r="X19" s="10">
        <v>7.6740332999999994E-2</v>
      </c>
      <c r="Y19" s="10">
        <f t="shared" si="2"/>
        <v>10.501025686192945</v>
      </c>
      <c r="Z19" s="10" t="s">
        <v>10</v>
      </c>
      <c r="AA19" s="7" t="s">
        <v>106</v>
      </c>
      <c r="AB19" s="9">
        <f>MIN(G19,O19)</f>
        <v>5.3438014999999998E-2</v>
      </c>
      <c r="AC19" s="9">
        <f t="shared" si="3"/>
        <v>1.4360625670695291</v>
      </c>
      <c r="AD19" s="9">
        <f t="shared" si="4"/>
        <v>15.080129903777303</v>
      </c>
      <c r="AE19" s="7" t="str">
        <f>IF(AND(M19="Failed", V19="Failed"), "Failed", "Passed")</f>
        <v>Passed</v>
      </c>
      <c r="AF19" s="14" t="s">
        <v>115</v>
      </c>
      <c r="AG19" s="14">
        <v>0.79028456199999997</v>
      </c>
      <c r="AH19" s="14" t="s">
        <v>10</v>
      </c>
      <c r="AI19">
        <v>2</v>
      </c>
      <c r="AJ19">
        <v>6</v>
      </c>
    </row>
    <row r="20" spans="1:37" x14ac:dyDescent="0.2">
      <c r="A20" t="s">
        <v>31</v>
      </c>
      <c r="B20">
        <v>1</v>
      </c>
      <c r="C20" s="14" t="s">
        <v>112</v>
      </c>
      <c r="D20" s="14">
        <v>0.49843275100000001</v>
      </c>
      <c r="E20" s="14" t="s">
        <v>10</v>
      </c>
      <c r="F20" s="1" t="s">
        <v>9</v>
      </c>
      <c r="G20" s="2">
        <v>3.2973044E-2</v>
      </c>
      <c r="H20" s="2">
        <v>3.7027999999999999E-5</v>
      </c>
      <c r="I20" s="2">
        <v>9.6387999999999999E-5</v>
      </c>
      <c r="J20" s="2">
        <v>9.3562950000000006E-3</v>
      </c>
      <c r="K20" s="2">
        <v>1.7375432999999999E-2</v>
      </c>
      <c r="L20" s="2">
        <f t="shared" si="0"/>
        <v>15.116370541949358</v>
      </c>
      <c r="M20" s="1" t="s">
        <v>10</v>
      </c>
      <c r="N20" s="4" t="s">
        <v>12</v>
      </c>
      <c r="O20" s="5">
        <v>2.5208047000000001E-2</v>
      </c>
      <c r="P20" s="5">
        <v>3.6974999999999998E-5</v>
      </c>
      <c r="Q20" s="5">
        <v>1.16994E-4</v>
      </c>
      <c r="R20" s="5">
        <v>1.1173931999999999E-2</v>
      </c>
      <c r="S20" s="5">
        <v>4.7942100000000001E-3</v>
      </c>
      <c r="T20" s="5">
        <f t="shared" si="1"/>
        <v>1.3080364377295868</v>
      </c>
      <c r="U20" s="5">
        <f>$D20/O20</f>
        <v>19.772763475091903</v>
      </c>
      <c r="V20" s="4" t="s">
        <v>10</v>
      </c>
      <c r="W20" s="10" t="s">
        <v>109</v>
      </c>
      <c r="X20" s="10">
        <v>5.2199256999999999E-2</v>
      </c>
      <c r="Y20" s="10">
        <f t="shared" si="2"/>
        <v>9.5486560469625079</v>
      </c>
      <c r="Z20" s="10" t="s">
        <v>10</v>
      </c>
      <c r="AA20" s="7" t="s">
        <v>106</v>
      </c>
      <c r="AB20" s="9">
        <f>MIN(G20,O20)</f>
        <v>2.5208047000000001E-2</v>
      </c>
      <c r="AC20" s="9">
        <f t="shared" si="3"/>
        <v>2.070737848116516</v>
      </c>
      <c r="AD20" s="9">
        <f t="shared" si="4"/>
        <v>19.772763475091903</v>
      </c>
      <c r="AE20" s="7" t="str">
        <f>IF(AND(M20="Failed", V20="Failed"), "Failed", "Passed")</f>
        <v>Passed</v>
      </c>
      <c r="AF20" s="14" t="s">
        <v>115</v>
      </c>
      <c r="AG20" s="14">
        <v>0.5330435</v>
      </c>
      <c r="AH20" s="14" t="s">
        <v>10</v>
      </c>
      <c r="AI20">
        <v>2</v>
      </c>
      <c r="AJ20">
        <v>0</v>
      </c>
    </row>
    <row r="21" spans="1:37" x14ac:dyDescent="0.2">
      <c r="A21" t="s">
        <v>32</v>
      </c>
      <c r="B21">
        <v>6</v>
      </c>
      <c r="C21" s="14" t="s">
        <v>112</v>
      </c>
      <c r="D21" s="14">
        <v>2.2157153439999999</v>
      </c>
      <c r="E21" s="14" t="s">
        <v>11</v>
      </c>
      <c r="F21" s="1" t="s">
        <v>9</v>
      </c>
      <c r="G21" s="2">
        <v>0.281982556</v>
      </c>
      <c r="H21" s="2">
        <v>1.13175E-4</v>
      </c>
      <c r="I21" s="2">
        <v>1.03718E-4</v>
      </c>
      <c r="J21" s="2">
        <v>1.1376416E-2</v>
      </c>
      <c r="K21" s="2">
        <v>1.6433347000000001E-2</v>
      </c>
      <c r="L21" s="2">
        <f t="shared" si="0"/>
        <v>7.8576326685967057</v>
      </c>
      <c r="M21" s="1" t="s">
        <v>11</v>
      </c>
      <c r="N21" s="4" t="s">
        <v>12</v>
      </c>
      <c r="O21" s="5">
        <v>0.130985988</v>
      </c>
      <c r="P21" s="5">
        <v>9.0546999999999999E-5</v>
      </c>
      <c r="Q21" s="5">
        <v>9.5228000000000004E-5</v>
      </c>
      <c r="R21" s="5">
        <v>9.2528709999999993E-3</v>
      </c>
      <c r="S21" s="5">
        <v>3.049698E-3</v>
      </c>
      <c r="T21" s="5">
        <f t="shared" si="1"/>
        <v>2.1527688595210659</v>
      </c>
      <c r="U21" s="5">
        <f>$D21/O21</f>
        <v>16.915666918510396</v>
      </c>
      <c r="V21" s="4" t="s">
        <v>10</v>
      </c>
      <c r="W21" s="10" t="s">
        <v>109</v>
      </c>
      <c r="X21" s="10">
        <v>0.28826637999999999</v>
      </c>
      <c r="Y21" s="10">
        <f t="shared" si="2"/>
        <v>7.6863467186149146</v>
      </c>
      <c r="Z21" s="10" t="s">
        <v>10</v>
      </c>
      <c r="AA21" s="7" t="s">
        <v>106</v>
      </c>
      <c r="AB21" s="9">
        <f>MIN(G21,O21)</f>
        <v>0.130985988</v>
      </c>
      <c r="AC21" s="9">
        <f t="shared" si="3"/>
        <v>2.2007421129655484</v>
      </c>
      <c r="AD21" s="9">
        <f t="shared" si="4"/>
        <v>16.915666918510396</v>
      </c>
      <c r="AE21" s="7" t="str">
        <f>IF(AND(M21="Failed", V21="Failed"), "Failed", "Passed")</f>
        <v>Passed</v>
      </c>
      <c r="AF21" s="14" t="s">
        <v>115</v>
      </c>
      <c r="AG21" s="14">
        <v>2.427782804</v>
      </c>
      <c r="AH21" s="14" t="s">
        <v>11</v>
      </c>
      <c r="AI21">
        <v>2</v>
      </c>
      <c r="AJ21">
        <v>10</v>
      </c>
    </row>
    <row r="22" spans="1:37" x14ac:dyDescent="0.2">
      <c r="A22" t="s">
        <v>33</v>
      </c>
      <c r="B22">
        <v>1</v>
      </c>
      <c r="C22" s="14" t="s">
        <v>112</v>
      </c>
      <c r="D22" s="14">
        <v>0.535337438</v>
      </c>
      <c r="E22" s="14" t="s">
        <v>10</v>
      </c>
      <c r="F22" s="1" t="s">
        <v>9</v>
      </c>
      <c r="G22" s="2">
        <v>3.7175365000000002E-2</v>
      </c>
      <c r="H22" s="2">
        <v>1.02184E-4</v>
      </c>
      <c r="I22" s="2">
        <v>1.8169099999999999E-4</v>
      </c>
      <c r="J22" s="2">
        <v>1.0311348E-2</v>
      </c>
      <c r="K22" s="2">
        <v>1.7230136E-2</v>
      </c>
      <c r="L22" s="2">
        <f t="shared" si="0"/>
        <v>14.400327690124898</v>
      </c>
      <c r="M22" s="1" t="s">
        <v>10</v>
      </c>
      <c r="N22" s="4" t="s">
        <v>12</v>
      </c>
      <c r="O22" s="5">
        <v>2.6201392E-2</v>
      </c>
      <c r="P22" s="5">
        <v>1.14942E-4</v>
      </c>
      <c r="Q22" s="5">
        <v>2.11604E-4</v>
      </c>
      <c r="R22" s="5">
        <v>1.0654255E-2</v>
      </c>
      <c r="S22" s="5">
        <v>4.3356369999999998E-3</v>
      </c>
      <c r="T22" s="5">
        <f t="shared" si="1"/>
        <v>1.4188316788665274</v>
      </c>
      <c r="U22" s="5">
        <f>$D22/O22</f>
        <v>20.431641112808052</v>
      </c>
      <c r="V22" s="4" t="s">
        <v>10</v>
      </c>
      <c r="W22" s="10" t="s">
        <v>109</v>
      </c>
      <c r="X22" s="10">
        <v>4.3270720999999998E-2</v>
      </c>
      <c r="Y22" s="10">
        <f t="shared" si="2"/>
        <v>12.371816915183826</v>
      </c>
      <c r="Z22" s="10" t="s">
        <v>10</v>
      </c>
      <c r="AA22" s="7" t="s">
        <v>106</v>
      </c>
      <c r="AB22" s="9">
        <f>MIN(G22,O22)</f>
        <v>2.6201392E-2</v>
      </c>
      <c r="AC22" s="9">
        <f t="shared" si="3"/>
        <v>1.6514664946045614</v>
      </c>
      <c r="AD22" s="9">
        <f t="shared" si="4"/>
        <v>20.431641112808052</v>
      </c>
      <c r="AE22" s="7" t="str">
        <f>IF(AND(M22="Failed", V22="Failed"), "Failed", "Passed")</f>
        <v>Passed</v>
      </c>
      <c r="AF22" s="14" t="s">
        <v>115</v>
      </c>
      <c r="AG22" s="14">
        <v>0.573242315</v>
      </c>
      <c r="AH22" s="14" t="s">
        <v>10</v>
      </c>
      <c r="AI22">
        <v>2</v>
      </c>
      <c r="AJ22">
        <v>10</v>
      </c>
    </row>
    <row r="23" spans="1:37" x14ac:dyDescent="0.2">
      <c r="A23" t="s">
        <v>34</v>
      </c>
      <c r="B23">
        <v>6</v>
      </c>
      <c r="C23" s="14" t="s">
        <v>112</v>
      </c>
      <c r="D23" s="14">
        <v>1.490847885</v>
      </c>
      <c r="E23" s="14" t="s">
        <v>10</v>
      </c>
      <c r="F23" s="1" t="s">
        <v>9</v>
      </c>
      <c r="G23" s="2">
        <v>0.23107380499999999</v>
      </c>
      <c r="H23" s="2">
        <v>4.4586999999999998E-5</v>
      </c>
      <c r="I23" s="2">
        <v>4.5522999999999998E-5</v>
      </c>
      <c r="J23" s="2">
        <v>1.3123355999999999E-2</v>
      </c>
      <c r="K23" s="2">
        <v>1.5009247E-2</v>
      </c>
      <c r="L23" s="2">
        <f t="shared" si="0"/>
        <v>6.4518255758154845</v>
      </c>
      <c r="M23" s="1" t="s">
        <v>11</v>
      </c>
      <c r="N23" s="4" t="s">
        <v>12</v>
      </c>
      <c r="O23" s="5">
        <v>9.4571599000000006E-2</v>
      </c>
      <c r="P23" s="5">
        <v>5.0618000000000002E-5</v>
      </c>
      <c r="Q23" s="5">
        <v>3.2540999999999999E-5</v>
      </c>
      <c r="R23" s="5">
        <v>7.990657E-3</v>
      </c>
      <c r="S23" s="5">
        <v>1.801338E-3</v>
      </c>
      <c r="T23" s="5">
        <f t="shared" si="1"/>
        <v>2.4433741994782174</v>
      </c>
      <c r="U23" s="5">
        <f>$D23/O23</f>
        <v>15.764224151481249</v>
      </c>
      <c r="V23" s="4" t="s">
        <v>11</v>
      </c>
      <c r="W23" s="10" t="s">
        <v>109</v>
      </c>
      <c r="X23" s="10">
        <v>0.20335725700000001</v>
      </c>
      <c r="Y23" s="10">
        <f t="shared" si="2"/>
        <v>7.3311762117247667</v>
      </c>
      <c r="Z23" s="10" t="s">
        <v>11</v>
      </c>
      <c r="AA23" s="7" t="s">
        <v>106</v>
      </c>
      <c r="AB23" s="9">
        <f>MIN(G23,O23)</f>
        <v>9.4571599000000006E-2</v>
      </c>
      <c r="AC23" s="9">
        <f t="shared" si="3"/>
        <v>2.1502994466658008</v>
      </c>
      <c r="AD23" s="9">
        <f t="shared" si="4"/>
        <v>15.764224151481249</v>
      </c>
      <c r="AE23" s="7" t="str">
        <f>IF(AND(M23="Failed", V23="Failed"), "Failed", "Passed")</f>
        <v>Failed</v>
      </c>
      <c r="AF23" s="14" t="s">
        <v>115</v>
      </c>
      <c r="AG23" s="14">
        <v>1.6777740269999999</v>
      </c>
      <c r="AH23" s="14" t="s">
        <v>11</v>
      </c>
      <c r="AI23">
        <v>2</v>
      </c>
      <c r="AJ23">
        <v>3</v>
      </c>
      <c r="AK23" t="s">
        <v>116</v>
      </c>
    </row>
    <row r="24" spans="1:37" x14ac:dyDescent="0.2">
      <c r="A24" t="s">
        <v>35</v>
      </c>
      <c r="B24">
        <v>1</v>
      </c>
      <c r="C24" s="14" t="s">
        <v>112</v>
      </c>
      <c r="D24" s="14">
        <v>2.4505895670000002</v>
      </c>
      <c r="E24" s="14" t="s">
        <v>10</v>
      </c>
      <c r="F24" s="1" t="s">
        <v>9</v>
      </c>
      <c r="G24" s="2">
        <v>0.158202976</v>
      </c>
      <c r="H24" s="2">
        <v>1.6950400000000001E-4</v>
      </c>
      <c r="I24" s="2">
        <v>1.375427E-3</v>
      </c>
      <c r="J24" s="2">
        <v>8.6675617999999996E-2</v>
      </c>
      <c r="K24" s="2">
        <v>5.2817844000000003E-2</v>
      </c>
      <c r="L24" s="2">
        <f t="shared" si="0"/>
        <v>15.490160987869155</v>
      </c>
      <c r="M24" s="1" t="s">
        <v>10</v>
      </c>
      <c r="N24" s="4" t="s">
        <v>12</v>
      </c>
      <c r="O24" s="5">
        <v>3.4452033999999999E-2</v>
      </c>
      <c r="P24" s="5">
        <v>1.7532999999999999E-4</v>
      </c>
      <c r="Q24" s="5">
        <v>8.1793399999999998E-4</v>
      </c>
      <c r="R24" s="5">
        <v>1.4357391000000001E-2</v>
      </c>
      <c r="S24" s="5">
        <v>7.4573879999999997E-3</v>
      </c>
      <c r="T24" s="5">
        <f t="shared" si="1"/>
        <v>4.591977820525778</v>
      </c>
      <c r="U24" s="5">
        <f>$D24/O24</f>
        <v>71.130475692668838</v>
      </c>
      <c r="V24" s="4" t="s">
        <v>10</v>
      </c>
      <c r="W24" s="10" t="s">
        <v>109</v>
      </c>
      <c r="X24" s="10">
        <v>4.6016769999999999E-2</v>
      </c>
      <c r="Y24" s="10">
        <f t="shared" si="2"/>
        <v>53.25427158403339</v>
      </c>
      <c r="Z24" s="10" t="s">
        <v>10</v>
      </c>
      <c r="AA24" s="7" t="s">
        <v>106</v>
      </c>
      <c r="AB24" s="9">
        <f>MIN(G24,O24)</f>
        <v>3.4452033999999999E-2</v>
      </c>
      <c r="AC24" s="9">
        <f t="shared" si="3"/>
        <v>1.3356764364043063</v>
      </c>
      <c r="AD24" s="9">
        <f t="shared" si="4"/>
        <v>71.130475692668838</v>
      </c>
      <c r="AE24" s="7" t="str">
        <f>IF(AND(M24="Failed", V24="Failed"), "Failed", "Passed")</f>
        <v>Passed</v>
      </c>
      <c r="AF24" s="14" t="s">
        <v>115</v>
      </c>
      <c r="AG24" s="14">
        <v>2.6687363369999999</v>
      </c>
      <c r="AH24" s="14" t="s">
        <v>10</v>
      </c>
      <c r="AI24">
        <v>9</v>
      </c>
      <c r="AJ24">
        <v>0</v>
      </c>
    </row>
    <row r="25" spans="1:37" x14ac:dyDescent="0.2">
      <c r="A25" t="s">
        <v>36</v>
      </c>
      <c r="B25">
        <v>1</v>
      </c>
      <c r="C25" s="14" t="s">
        <v>112</v>
      </c>
      <c r="D25" s="14">
        <v>5.693807262</v>
      </c>
      <c r="E25" s="14" t="s">
        <v>10</v>
      </c>
      <c r="F25" s="1" t="s">
        <v>9</v>
      </c>
      <c r="G25" s="2">
        <v>1.1092078089999999</v>
      </c>
      <c r="H25" s="2">
        <v>3.9446000000000001E-4</v>
      </c>
      <c r="I25" s="2">
        <v>7.1140207999999996E-2</v>
      </c>
      <c r="J25" s="2">
        <v>0.63306362599999999</v>
      </c>
      <c r="K25" s="2">
        <v>0.39064660899999998</v>
      </c>
      <c r="L25" s="2">
        <f t="shared" si="0"/>
        <v>5.1332195967257208</v>
      </c>
      <c r="M25" s="1" t="s">
        <v>10</v>
      </c>
      <c r="N25" s="4" t="s">
        <v>12</v>
      </c>
      <c r="O25" s="5">
        <v>0.48580962900000002</v>
      </c>
      <c r="P25" s="5">
        <v>5.6046999999999998E-4</v>
      </c>
      <c r="Q25" s="5">
        <v>3.8542218000000003E-2</v>
      </c>
      <c r="R25" s="5">
        <v>0.40773035299999999</v>
      </c>
      <c r="S25" s="5">
        <v>2.3883544999999999E-2</v>
      </c>
      <c r="T25" s="5">
        <f t="shared" si="1"/>
        <v>2.2832149524973699</v>
      </c>
      <c r="U25" s="5">
        <f>$D25/O25</f>
        <v>11.720243737696684</v>
      </c>
      <c r="V25" s="4" t="s">
        <v>10</v>
      </c>
      <c r="W25" s="10" t="s">
        <v>109</v>
      </c>
      <c r="X25" s="10">
        <v>0.95031195000000002</v>
      </c>
      <c r="Y25" s="10">
        <f t="shared" si="2"/>
        <v>5.9915139044605299</v>
      </c>
      <c r="Z25" s="10" t="s">
        <v>10</v>
      </c>
      <c r="AA25" s="7" t="s">
        <v>106</v>
      </c>
      <c r="AB25" s="9">
        <f>MIN(G25,O25)</f>
        <v>0.48580962900000002</v>
      </c>
      <c r="AC25" s="9">
        <f t="shared" si="3"/>
        <v>1.9561406223177185</v>
      </c>
      <c r="AD25" s="9">
        <f t="shared" si="4"/>
        <v>11.720243737696684</v>
      </c>
      <c r="AE25" s="7" t="str">
        <f>IF(AND(M25="Failed", V25="Failed"), "Failed", "Passed")</f>
        <v>Passed</v>
      </c>
      <c r="AF25" s="14" t="s">
        <v>115</v>
      </c>
      <c r="AG25" s="14">
        <v>5.9387596370000004</v>
      </c>
      <c r="AH25" s="14" t="s">
        <v>10</v>
      </c>
      <c r="AI25">
        <v>9</v>
      </c>
      <c r="AJ25">
        <v>0</v>
      </c>
    </row>
    <row r="26" spans="1:37" x14ac:dyDescent="0.2">
      <c r="A26" t="s">
        <v>37</v>
      </c>
      <c r="B26">
        <v>1</v>
      </c>
      <c r="C26" s="14" t="s">
        <v>112</v>
      </c>
      <c r="D26" s="14">
        <v>0.81395826100000002</v>
      </c>
      <c r="E26" s="14" t="s">
        <v>10</v>
      </c>
      <c r="F26" s="1" t="s">
        <v>9</v>
      </c>
      <c r="G26" s="2">
        <v>7.9965333E-2</v>
      </c>
      <c r="H26" s="2">
        <v>2.8380799999999998E-4</v>
      </c>
      <c r="I26" s="2">
        <v>6.2822400000000003E-4</v>
      </c>
      <c r="J26" s="2">
        <v>3.0728638999999999E-2</v>
      </c>
      <c r="K26" s="2">
        <v>3.4645160000000001E-2</v>
      </c>
      <c r="L26" s="2">
        <f t="shared" si="0"/>
        <v>10.17888915688002</v>
      </c>
      <c r="M26" s="1" t="s">
        <v>10</v>
      </c>
      <c r="N26" s="4" t="s">
        <v>12</v>
      </c>
      <c r="O26" s="5">
        <v>3.8407641999999999E-2</v>
      </c>
      <c r="P26" s="5">
        <v>1.40853E-4</v>
      </c>
      <c r="Q26" s="5">
        <v>2.6302900000000002E-4</v>
      </c>
      <c r="R26" s="5">
        <v>1.7160242999999999E-2</v>
      </c>
      <c r="S26" s="5">
        <v>8.9463170000000005E-3</v>
      </c>
      <c r="T26" s="5">
        <f t="shared" si="1"/>
        <v>2.0820162039627426</v>
      </c>
      <c r="U26" s="5">
        <f>$D26/O26</f>
        <v>21.19261216296486</v>
      </c>
      <c r="V26" s="4" t="s">
        <v>10</v>
      </c>
      <c r="W26" s="10" t="s">
        <v>109</v>
      </c>
      <c r="X26" s="10">
        <v>2.5297066E-2</v>
      </c>
      <c r="Y26" s="10">
        <f t="shared" si="2"/>
        <v>32.175994678592374</v>
      </c>
      <c r="Z26" s="10" t="s">
        <v>10</v>
      </c>
      <c r="AA26" s="7" t="s">
        <v>106</v>
      </c>
      <c r="AB26" s="9">
        <f>MIN(G26,O26)</f>
        <v>3.8407641999999999E-2</v>
      </c>
      <c r="AC26" s="9">
        <f t="shared" si="3"/>
        <v>0.65864668286587347</v>
      </c>
      <c r="AD26" s="9">
        <f t="shared" si="4"/>
        <v>21.19261216296486</v>
      </c>
      <c r="AE26" s="7" t="str">
        <f>IF(AND(M26="Failed", V26="Failed"), "Failed", "Passed")</f>
        <v>Passed</v>
      </c>
      <c r="AF26" s="14" t="s">
        <v>115</v>
      </c>
      <c r="AG26" s="14">
        <v>0.81773584799999999</v>
      </c>
      <c r="AH26" s="14" t="s">
        <v>10</v>
      </c>
      <c r="AI26">
        <v>7</v>
      </c>
      <c r="AJ26">
        <v>0</v>
      </c>
    </row>
    <row r="27" spans="1:37" x14ac:dyDescent="0.2">
      <c r="A27" t="s">
        <v>38</v>
      </c>
      <c r="B27">
        <v>2</v>
      </c>
      <c r="C27" s="14" t="s">
        <v>112</v>
      </c>
      <c r="D27" s="14">
        <v>14.943785644</v>
      </c>
      <c r="E27" s="14" t="s">
        <v>10</v>
      </c>
      <c r="F27" s="1" t="s">
        <v>9</v>
      </c>
      <c r="G27" s="2">
        <v>0.198845831</v>
      </c>
      <c r="H27" s="2">
        <v>7.6406E-5</v>
      </c>
      <c r="I27" s="2">
        <v>3.7024399999999999E-4</v>
      </c>
      <c r="J27" s="2">
        <v>3.6761902999999999E-2</v>
      </c>
      <c r="K27" s="2">
        <v>5.3130702000000002E-2</v>
      </c>
      <c r="L27" s="2">
        <f t="shared" si="0"/>
        <v>75.152622354953976</v>
      </c>
      <c r="M27" s="1" t="s">
        <v>10</v>
      </c>
      <c r="N27" s="4" t="s">
        <v>12</v>
      </c>
      <c r="O27" s="5">
        <v>5.9556892E-2</v>
      </c>
      <c r="P27" s="5">
        <v>8.1204000000000004E-5</v>
      </c>
      <c r="Q27" s="5">
        <v>1.2324800000000001E-4</v>
      </c>
      <c r="R27" s="5">
        <v>1.371173E-2</v>
      </c>
      <c r="S27" s="5">
        <v>6.8975649999999996E-3</v>
      </c>
      <c r="T27" s="5">
        <f t="shared" si="1"/>
        <v>3.3387543292218806</v>
      </c>
      <c r="U27" s="5">
        <f>$D27/O27</f>
        <v>250.91614323997968</v>
      </c>
      <c r="V27" s="4" t="s">
        <v>10</v>
      </c>
      <c r="W27" s="10" t="s">
        <v>109</v>
      </c>
      <c r="X27" s="10">
        <v>6.4421166000000002E-2</v>
      </c>
      <c r="Y27" s="10">
        <f t="shared" si="2"/>
        <v>231.97012056565384</v>
      </c>
      <c r="Z27" s="10" t="s">
        <v>10</v>
      </c>
      <c r="AA27" s="7" t="s">
        <v>106</v>
      </c>
      <c r="AB27" s="9">
        <f>MIN(G27,O27)</f>
        <v>5.9556892E-2</v>
      </c>
      <c r="AC27" s="9">
        <f t="shared" si="3"/>
        <v>1.0816744097391784</v>
      </c>
      <c r="AD27" s="9">
        <f t="shared" si="4"/>
        <v>250.91614323997968</v>
      </c>
      <c r="AE27" s="7" t="str">
        <f>IF(AND(M27="Failed", V27="Failed"), "Failed", "Passed")</f>
        <v>Passed</v>
      </c>
      <c r="AF27" s="14" t="s">
        <v>115</v>
      </c>
      <c r="AG27" s="14">
        <v>14.969779055</v>
      </c>
      <c r="AH27" s="14" t="s">
        <v>10</v>
      </c>
      <c r="AI27">
        <v>17</v>
      </c>
      <c r="AJ27">
        <v>0</v>
      </c>
    </row>
    <row r="28" spans="1:37" x14ac:dyDescent="0.2">
      <c r="A28" t="s">
        <v>39</v>
      </c>
      <c r="B28">
        <v>3</v>
      </c>
      <c r="C28" s="14" t="s">
        <v>112</v>
      </c>
      <c r="D28" s="14">
        <v>24.630949885</v>
      </c>
      <c r="E28" s="14" t="s">
        <v>10</v>
      </c>
      <c r="F28" s="1" t="s">
        <v>9</v>
      </c>
      <c r="G28" s="2">
        <v>46.441859770999997</v>
      </c>
      <c r="H28" s="2">
        <v>5.1077100000000003E-4</v>
      </c>
      <c r="I28" s="2">
        <v>0.25718137600000002</v>
      </c>
      <c r="J28" s="2">
        <v>1.8327271570000001</v>
      </c>
      <c r="K28" s="2">
        <v>13.381106179</v>
      </c>
      <c r="L28" s="2">
        <f t="shared" si="0"/>
        <v>0.53036097190019227</v>
      </c>
      <c r="M28" s="1" t="s">
        <v>11</v>
      </c>
      <c r="N28" s="4" t="s">
        <v>12</v>
      </c>
      <c r="O28" s="5">
        <v>3.3702325210000001</v>
      </c>
      <c r="P28" s="5">
        <v>2.2273700000000001E-4</v>
      </c>
      <c r="Q28" s="5">
        <v>9.3996305000000002E-2</v>
      </c>
      <c r="R28" s="5">
        <v>0.975763924</v>
      </c>
      <c r="S28" s="5">
        <v>3.7587056000000001E-2</v>
      </c>
      <c r="T28" s="5">
        <f t="shared" si="1"/>
        <v>13.780016506760186</v>
      </c>
      <c r="U28" s="5">
        <f>$D28/O28</f>
        <v>7.3083829473260247</v>
      </c>
      <c r="V28" s="4" t="s">
        <v>10</v>
      </c>
      <c r="W28" s="10" t="s">
        <v>109</v>
      </c>
      <c r="X28" s="10">
        <v>4.8008451409999999</v>
      </c>
      <c r="Y28" s="10">
        <f t="shared" si="2"/>
        <v>5.130544552384678</v>
      </c>
      <c r="Z28" s="10" t="s">
        <v>10</v>
      </c>
      <c r="AA28" s="7" t="s">
        <v>106</v>
      </c>
      <c r="AB28" s="9">
        <f>MIN(G28,O28)</f>
        <v>3.3702325210000001</v>
      </c>
      <c r="AC28" s="9">
        <f t="shared" si="3"/>
        <v>1.4244848422433223</v>
      </c>
      <c r="AD28" s="9">
        <f t="shared" si="4"/>
        <v>7.3083829473260247</v>
      </c>
      <c r="AE28" s="7" t="str">
        <f>IF(AND(M28="Failed", V28="Failed"), "Failed", "Passed")</f>
        <v>Passed</v>
      </c>
      <c r="AF28" s="14" t="s">
        <v>115</v>
      </c>
      <c r="AG28" s="14">
        <v>25.101728171000001</v>
      </c>
      <c r="AH28" s="14" t="s">
        <v>10</v>
      </c>
      <c r="AI28">
        <v>28</v>
      </c>
      <c r="AJ28">
        <v>0</v>
      </c>
    </row>
    <row r="29" spans="1:37" x14ac:dyDescent="0.2">
      <c r="A29" t="s">
        <v>40</v>
      </c>
      <c r="B29">
        <v>1</v>
      </c>
      <c r="C29" s="14" t="s">
        <v>112</v>
      </c>
      <c r="D29" s="14">
        <v>0.62786333000000005</v>
      </c>
      <c r="E29" s="14" t="s">
        <v>10</v>
      </c>
      <c r="F29" s="1" t="s">
        <v>9</v>
      </c>
      <c r="G29" s="2">
        <v>9.8941578000000002E-2</v>
      </c>
      <c r="H29" s="2">
        <v>1.2419699999999999E-4</v>
      </c>
      <c r="I29" s="2">
        <v>3.5153E-5</v>
      </c>
      <c r="J29" s="2">
        <v>3.1588567999999997E-2</v>
      </c>
      <c r="K29" s="2">
        <v>3.3705974E-2</v>
      </c>
      <c r="L29" s="2">
        <f t="shared" si="0"/>
        <v>6.3457986287625214</v>
      </c>
      <c r="M29" s="1" t="s">
        <v>10</v>
      </c>
      <c r="N29" s="4" t="s">
        <v>12</v>
      </c>
      <c r="O29" s="5">
        <v>3.4280805999999997E-2</v>
      </c>
      <c r="P29" s="5">
        <v>8.1663999999999996E-5</v>
      </c>
      <c r="Q29" s="5">
        <v>4.5441000000000001E-5</v>
      </c>
      <c r="R29" s="5">
        <v>1.9412206000000001E-2</v>
      </c>
      <c r="S29" s="5">
        <v>4.2480840000000001E-3</v>
      </c>
      <c r="T29" s="5">
        <f t="shared" si="1"/>
        <v>2.8862092099001408</v>
      </c>
      <c r="U29" s="5">
        <f>$D29/O29</f>
        <v>18.315302446506074</v>
      </c>
      <c r="V29" s="4" t="s">
        <v>10</v>
      </c>
      <c r="W29" s="10" t="s">
        <v>109</v>
      </c>
      <c r="X29" s="10">
        <v>2.6137671000000001E-2</v>
      </c>
      <c r="Y29" s="10">
        <f t="shared" si="2"/>
        <v>24.021395402826826</v>
      </c>
      <c r="Z29" s="10" t="s">
        <v>10</v>
      </c>
      <c r="AA29" s="7" t="s">
        <v>106</v>
      </c>
      <c r="AB29" s="9">
        <f>MIN(G29,O29)</f>
        <v>3.4280805999999997E-2</v>
      </c>
      <c r="AC29" s="9">
        <f t="shared" si="3"/>
        <v>0.76245788970072648</v>
      </c>
      <c r="AD29" s="9">
        <f t="shared" si="4"/>
        <v>18.315302446506074</v>
      </c>
      <c r="AE29" s="7" t="str">
        <f>IF(AND(M29="Failed", V29="Failed"), "Failed", "Passed")</f>
        <v>Passed</v>
      </c>
      <c r="AF29" s="14" t="s">
        <v>115</v>
      </c>
      <c r="AG29" s="14">
        <v>0.78214787699999999</v>
      </c>
      <c r="AH29" s="14" t="s">
        <v>10</v>
      </c>
      <c r="AI29">
        <v>6</v>
      </c>
      <c r="AJ29">
        <v>0</v>
      </c>
    </row>
    <row r="30" spans="1:37" x14ac:dyDescent="0.2">
      <c r="A30" t="s">
        <v>41</v>
      </c>
      <c r="B30">
        <v>1</v>
      </c>
      <c r="C30" s="14" t="s">
        <v>112</v>
      </c>
      <c r="D30" s="14">
        <v>2.4961480740000002</v>
      </c>
      <c r="E30" s="14" t="s">
        <v>10</v>
      </c>
      <c r="F30" s="1" t="s">
        <v>9</v>
      </c>
      <c r="G30" s="2">
        <v>9.2649515000000002E-2</v>
      </c>
      <c r="H30" s="2">
        <v>6.4290999999999998E-5</v>
      </c>
      <c r="I30" s="2">
        <v>1.07105E-4</v>
      </c>
      <c r="J30" s="2">
        <v>3.3081897999999998E-2</v>
      </c>
      <c r="K30" s="2">
        <v>4.6835095E-2</v>
      </c>
      <c r="L30" s="2">
        <f t="shared" si="0"/>
        <v>26.941836381982142</v>
      </c>
      <c r="M30" s="1" t="s">
        <v>10</v>
      </c>
      <c r="N30" s="4" t="s">
        <v>12</v>
      </c>
      <c r="O30" s="5">
        <v>4.2357042999999997E-2</v>
      </c>
      <c r="P30" s="5">
        <v>6.9748999999999999E-5</v>
      </c>
      <c r="Q30" s="5">
        <v>8.8500999999999999E-5</v>
      </c>
      <c r="R30" s="5">
        <v>1.4112461E-2</v>
      </c>
      <c r="S30" s="5">
        <v>1.4904568999999999E-2</v>
      </c>
      <c r="T30" s="5">
        <f t="shared" si="1"/>
        <v>2.1873461516187525</v>
      </c>
      <c r="U30" s="5">
        <f>$D30/O30</f>
        <v>58.931122127670726</v>
      </c>
      <c r="V30" s="4" t="s">
        <v>10</v>
      </c>
      <c r="W30" s="10" t="s">
        <v>109</v>
      </c>
      <c r="X30" s="10">
        <v>4.1340022999999997E-2</v>
      </c>
      <c r="Y30" s="10">
        <f t="shared" si="2"/>
        <v>60.380906754696298</v>
      </c>
      <c r="Z30" s="10" t="s">
        <v>10</v>
      </c>
      <c r="AA30" s="7" t="s">
        <v>106</v>
      </c>
      <c r="AB30" s="9">
        <f>MIN(G30,O30)</f>
        <v>4.2357042999999997E-2</v>
      </c>
      <c r="AC30" s="9">
        <f t="shared" si="3"/>
        <v>0.97598935317557456</v>
      </c>
      <c r="AD30" s="9">
        <f t="shared" si="4"/>
        <v>58.931122127670726</v>
      </c>
      <c r="AE30" s="7" t="str">
        <f>IF(AND(M30="Failed", V30="Failed"), "Failed", "Passed")</f>
        <v>Passed</v>
      </c>
      <c r="AF30" s="14" t="s">
        <v>115</v>
      </c>
      <c r="AG30" s="14">
        <v>2.5085372939999999</v>
      </c>
      <c r="AH30" s="14" t="s">
        <v>10</v>
      </c>
      <c r="AI30">
        <v>9</v>
      </c>
      <c r="AJ30">
        <v>0</v>
      </c>
    </row>
    <row r="31" spans="1:37" x14ac:dyDescent="0.2">
      <c r="A31" t="s">
        <v>42</v>
      </c>
      <c r="B31">
        <v>1</v>
      </c>
      <c r="C31" s="14" t="s">
        <v>112</v>
      </c>
      <c r="D31" s="14">
        <v>0.54285883300000004</v>
      </c>
      <c r="E31" s="14" t="s">
        <v>10</v>
      </c>
      <c r="F31" s="1" t="s">
        <v>9</v>
      </c>
      <c r="G31" s="2">
        <v>4.4379713000000001E-2</v>
      </c>
      <c r="H31" s="2">
        <v>1.0033499999999999E-4</v>
      </c>
      <c r="I31" s="2">
        <v>6.3426699999999999E-4</v>
      </c>
      <c r="J31" s="2">
        <v>1.5459976E-2</v>
      </c>
      <c r="K31" s="2">
        <v>1.4877121E-2</v>
      </c>
      <c r="L31" s="2">
        <f t="shared" si="0"/>
        <v>12.232139333573429</v>
      </c>
      <c r="M31" s="1" t="s">
        <v>10</v>
      </c>
      <c r="N31" s="4" t="s">
        <v>12</v>
      </c>
      <c r="O31" s="5">
        <v>3.2284361999999997E-2</v>
      </c>
      <c r="P31" s="5">
        <v>9.0603E-5</v>
      </c>
      <c r="Q31" s="5">
        <v>3.7048000000000002E-4</v>
      </c>
      <c r="R31" s="5">
        <v>1.3145209999999999E-2</v>
      </c>
      <c r="S31" s="5">
        <v>7.5992789999999996E-3</v>
      </c>
      <c r="T31" s="5">
        <f t="shared" si="1"/>
        <v>1.3746504577045693</v>
      </c>
      <c r="U31" s="5">
        <f>$D31/O31</f>
        <v>16.81491593360278</v>
      </c>
      <c r="V31" s="4" t="s">
        <v>10</v>
      </c>
      <c r="W31" s="10" t="s">
        <v>109</v>
      </c>
      <c r="X31" s="10">
        <v>3.0296752E-2</v>
      </c>
      <c r="Y31" s="10">
        <f t="shared" si="2"/>
        <v>17.918053823063278</v>
      </c>
      <c r="Z31" s="10" t="s">
        <v>10</v>
      </c>
      <c r="AA31" s="7" t="s">
        <v>106</v>
      </c>
      <c r="AB31" s="9">
        <f>MIN(G31,O31)</f>
        <v>3.2284361999999997E-2</v>
      </c>
      <c r="AC31" s="9">
        <f t="shared" si="3"/>
        <v>0.93843427972961035</v>
      </c>
      <c r="AD31" s="9">
        <f t="shared" si="4"/>
        <v>16.81491593360278</v>
      </c>
      <c r="AE31" s="7" t="str">
        <f>IF(AND(M31="Failed", V31="Failed"), "Failed", "Passed")</f>
        <v>Passed</v>
      </c>
      <c r="AF31" s="14" t="s">
        <v>115</v>
      </c>
      <c r="AG31" s="14">
        <v>0.54416803700000005</v>
      </c>
      <c r="AH31" s="14" t="s">
        <v>10</v>
      </c>
      <c r="AI31">
        <v>1</v>
      </c>
      <c r="AJ31">
        <v>1</v>
      </c>
    </row>
    <row r="32" spans="1:37" x14ac:dyDescent="0.2">
      <c r="A32" t="s">
        <v>43</v>
      </c>
      <c r="B32">
        <v>1</v>
      </c>
      <c r="C32" s="14" t="s">
        <v>112</v>
      </c>
      <c r="D32" s="14">
        <v>0.56167717699999997</v>
      </c>
      <c r="E32" s="14" t="s">
        <v>10</v>
      </c>
      <c r="F32" s="1" t="s">
        <v>9</v>
      </c>
      <c r="G32" s="2">
        <v>7.7979645E-2</v>
      </c>
      <c r="H32" s="2">
        <v>2.09786E-4</v>
      </c>
      <c r="I32" s="2">
        <v>2.1134699999999999E-4</v>
      </c>
      <c r="J32" s="2">
        <v>2.3599952E-2</v>
      </c>
      <c r="K32" s="2">
        <v>4.3391779999999998E-2</v>
      </c>
      <c r="L32" s="2">
        <f t="shared" si="0"/>
        <v>7.2028691205249773</v>
      </c>
      <c r="M32" s="1" t="s">
        <v>10</v>
      </c>
      <c r="N32" s="4" t="s">
        <v>12</v>
      </c>
      <c r="O32" s="5">
        <v>3.4887276000000002E-2</v>
      </c>
      <c r="P32" s="5">
        <v>9.2048999999999999E-5</v>
      </c>
      <c r="Q32" s="5">
        <v>6.6870000000000002E-5</v>
      </c>
      <c r="R32" s="5">
        <v>1.3079597E-2</v>
      </c>
      <c r="S32" s="5">
        <v>1.2909906000000001E-2</v>
      </c>
      <c r="T32" s="5">
        <f t="shared" si="1"/>
        <v>2.2351886974494652</v>
      </c>
      <c r="U32" s="5">
        <f>$D32/O32</f>
        <v>16.099771647405202</v>
      </c>
      <c r="V32" s="4" t="s">
        <v>10</v>
      </c>
      <c r="W32" s="10" t="s">
        <v>109</v>
      </c>
      <c r="X32" s="10">
        <v>3.2417976000000001E-2</v>
      </c>
      <c r="Y32" s="10">
        <f t="shared" si="2"/>
        <v>17.326102561122259</v>
      </c>
      <c r="Z32" s="10" t="s">
        <v>10</v>
      </c>
      <c r="AA32" s="7" t="s">
        <v>106</v>
      </c>
      <c r="AB32" s="9">
        <f>MIN(G32,O32)</f>
        <v>3.4887276000000002E-2</v>
      </c>
      <c r="AC32" s="9">
        <f t="shared" si="3"/>
        <v>0.92922061326886052</v>
      </c>
      <c r="AD32" s="9">
        <f t="shared" si="4"/>
        <v>16.099771647405202</v>
      </c>
      <c r="AE32" s="7" t="str">
        <f>IF(AND(M32="Failed", V32="Failed"), "Failed", "Passed")</f>
        <v>Passed</v>
      </c>
      <c r="AF32" s="14" t="s">
        <v>115</v>
      </c>
      <c r="AG32" s="14">
        <v>0.56741227699999996</v>
      </c>
      <c r="AH32" s="14" t="s">
        <v>10</v>
      </c>
      <c r="AI32">
        <v>1</v>
      </c>
      <c r="AJ32">
        <v>4</v>
      </c>
    </row>
    <row r="33" spans="1:37" x14ac:dyDescent="0.2">
      <c r="A33" t="s">
        <v>44</v>
      </c>
      <c r="B33">
        <v>1</v>
      </c>
      <c r="C33" s="14" t="s">
        <v>112</v>
      </c>
      <c r="D33" s="14">
        <v>1.083941928</v>
      </c>
      <c r="E33" s="14" t="s">
        <v>10</v>
      </c>
      <c r="F33" s="1" t="s">
        <v>9</v>
      </c>
      <c r="G33" s="2">
        <v>4.2709062999999999E-2</v>
      </c>
      <c r="H33" s="2">
        <v>6.3398000000000005E-5</v>
      </c>
      <c r="I33" s="2">
        <v>1.8038799999999999E-4</v>
      </c>
      <c r="J33" s="2">
        <v>1.712903E-2</v>
      </c>
      <c r="K33" s="2">
        <v>1.5702598000000002E-2</v>
      </c>
      <c r="L33" s="2">
        <f t="shared" si="0"/>
        <v>25.379670071431914</v>
      </c>
      <c r="M33" s="1" t="s">
        <v>10</v>
      </c>
      <c r="N33" s="4" t="s">
        <v>12</v>
      </c>
      <c r="O33" s="5">
        <v>3.0784799000000002E-2</v>
      </c>
      <c r="P33" s="5">
        <v>8.5767999999999996E-5</v>
      </c>
      <c r="Q33" s="5">
        <v>1.88207E-4</v>
      </c>
      <c r="R33" s="5">
        <v>1.2548884999999999E-2</v>
      </c>
      <c r="S33" s="5">
        <v>7.2696319999999998E-3</v>
      </c>
      <c r="T33" s="5">
        <f t="shared" si="1"/>
        <v>1.3873425972344338</v>
      </c>
      <c r="U33" s="5">
        <f>$D33/O33</f>
        <v>35.210297393853374</v>
      </c>
      <c r="V33" s="4" t="s">
        <v>10</v>
      </c>
      <c r="W33" s="10" t="s">
        <v>109</v>
      </c>
      <c r="X33" s="10">
        <v>3.0468302999999999E-2</v>
      </c>
      <c r="Y33" s="10">
        <f t="shared" si="2"/>
        <v>35.576051872662553</v>
      </c>
      <c r="Z33" s="10" t="s">
        <v>10</v>
      </c>
      <c r="AA33" s="7" t="s">
        <v>106</v>
      </c>
      <c r="AB33" s="9">
        <f>MIN(G33,O33)</f>
        <v>3.0784799000000002E-2</v>
      </c>
      <c r="AC33" s="9">
        <f t="shared" si="3"/>
        <v>0.98971908181047397</v>
      </c>
      <c r="AD33" s="9">
        <f t="shared" si="4"/>
        <v>35.210297393853374</v>
      </c>
      <c r="AE33" s="7" t="str">
        <f>IF(AND(M33="Failed", V33="Failed"), "Failed", "Passed")</f>
        <v>Passed</v>
      </c>
      <c r="AF33" s="14" t="s">
        <v>115</v>
      </c>
      <c r="AG33" s="14">
        <v>1.1828000169999999</v>
      </c>
      <c r="AH33" s="14" t="s">
        <v>10</v>
      </c>
      <c r="AI33">
        <v>1</v>
      </c>
      <c r="AJ33">
        <v>1</v>
      </c>
    </row>
    <row r="34" spans="1:37" x14ac:dyDescent="0.2">
      <c r="A34" t="s">
        <v>45</v>
      </c>
      <c r="B34">
        <v>1</v>
      </c>
      <c r="C34" s="14" t="s">
        <v>112</v>
      </c>
      <c r="D34" s="14">
        <v>0.62963413400000001</v>
      </c>
      <c r="E34" s="14" t="s">
        <v>10</v>
      </c>
      <c r="F34" s="1" t="s">
        <v>9</v>
      </c>
      <c r="G34" s="2">
        <v>4.9416638999999998E-2</v>
      </c>
      <c r="H34" s="2">
        <v>1.4444800000000001E-4</v>
      </c>
      <c r="I34" s="2">
        <v>8.3413999999999998E-5</v>
      </c>
      <c r="J34" s="2">
        <v>2.1241928E-2</v>
      </c>
      <c r="K34" s="2">
        <v>1.6705082999999999E-2</v>
      </c>
      <c r="L34" s="2">
        <f t="shared" si="0"/>
        <v>12.741338681491472</v>
      </c>
      <c r="M34" s="1" t="s">
        <v>10</v>
      </c>
      <c r="N34" s="4" t="s">
        <v>12</v>
      </c>
      <c r="O34" s="5">
        <v>2.4309712000000001E-2</v>
      </c>
      <c r="P34" s="5">
        <v>1.92907E-4</v>
      </c>
      <c r="Q34" s="5">
        <v>9.5440999999999996E-5</v>
      </c>
      <c r="R34" s="5">
        <v>1.3207033E-2</v>
      </c>
      <c r="S34" s="5">
        <v>4.7407400000000002E-3</v>
      </c>
      <c r="T34" s="5">
        <f t="shared" si="1"/>
        <v>2.0327940948045784</v>
      </c>
      <c r="U34" s="5">
        <f>$D34/O34</f>
        <v>25.900518031641017</v>
      </c>
      <c r="V34" s="4" t="s">
        <v>10</v>
      </c>
      <c r="W34" s="10" t="s">
        <v>109</v>
      </c>
      <c r="X34" s="10">
        <v>2.2371384000000001E-2</v>
      </c>
      <c r="Y34" s="10">
        <f t="shared" si="2"/>
        <v>28.144621450331368</v>
      </c>
      <c r="Z34" s="10" t="s">
        <v>10</v>
      </c>
      <c r="AA34" s="7" t="s">
        <v>106</v>
      </c>
      <c r="AB34" s="9">
        <f>MIN(G34,O34)</f>
        <v>2.4309712000000001E-2</v>
      </c>
      <c r="AC34" s="9">
        <f t="shared" si="3"/>
        <v>0.9202652832744378</v>
      </c>
      <c r="AD34" s="9">
        <f t="shared" si="4"/>
        <v>25.900518031641017</v>
      </c>
      <c r="AE34" s="7" t="str">
        <f>IF(AND(M34="Failed", V34="Failed"), "Failed", "Passed")</f>
        <v>Passed</v>
      </c>
      <c r="AF34" s="14" t="s">
        <v>115</v>
      </c>
      <c r="AG34" s="14">
        <v>0.68193207300000003</v>
      </c>
      <c r="AH34" s="14" t="s">
        <v>10</v>
      </c>
      <c r="AI34">
        <v>1</v>
      </c>
      <c r="AJ34">
        <v>3</v>
      </c>
    </row>
    <row r="35" spans="1:37" x14ac:dyDescent="0.2">
      <c r="A35" t="s">
        <v>46</v>
      </c>
      <c r="B35">
        <v>1</v>
      </c>
      <c r="C35" s="14" t="s">
        <v>112</v>
      </c>
      <c r="D35" s="14">
        <v>0.58509033899999996</v>
      </c>
      <c r="E35" s="14" t="s">
        <v>10</v>
      </c>
      <c r="F35" s="1" t="s">
        <v>9</v>
      </c>
      <c r="G35" s="2">
        <v>4.1322003000000003E-2</v>
      </c>
      <c r="H35" s="2">
        <v>1.3517100000000001E-4</v>
      </c>
      <c r="I35" s="2">
        <v>8.9182000000000001E-5</v>
      </c>
      <c r="J35" s="2">
        <v>1.880447E-2</v>
      </c>
      <c r="K35" s="2">
        <v>1.5355048E-2</v>
      </c>
      <c r="L35" s="2">
        <f t="shared" si="0"/>
        <v>14.159292786460519</v>
      </c>
      <c r="M35" s="1" t="s">
        <v>10</v>
      </c>
      <c r="N35" s="4" t="s">
        <v>12</v>
      </c>
      <c r="O35" s="5">
        <v>2.8822319999999998E-2</v>
      </c>
      <c r="P35" s="5">
        <v>8.3973000000000004E-5</v>
      </c>
      <c r="Q35" s="5">
        <v>8.0842999999999998E-5</v>
      </c>
      <c r="R35" s="5">
        <v>8.9973559999999998E-3</v>
      </c>
      <c r="S35" s="5">
        <v>1.3476983E-2</v>
      </c>
      <c r="T35" s="5">
        <f t="shared" si="1"/>
        <v>1.4336806683153891</v>
      </c>
      <c r="U35" s="5">
        <f>$D35/O35</f>
        <v>20.299904344965984</v>
      </c>
      <c r="V35" s="4" t="s">
        <v>10</v>
      </c>
      <c r="W35" s="10" t="s">
        <v>109</v>
      </c>
      <c r="X35" s="10">
        <v>2.9301507000000001E-2</v>
      </c>
      <c r="Y35" s="10">
        <f t="shared" si="2"/>
        <v>19.967926530195186</v>
      </c>
      <c r="Z35" s="10" t="s">
        <v>10</v>
      </c>
      <c r="AA35" s="7" t="s">
        <v>106</v>
      </c>
      <c r="AB35" s="9">
        <f>MIN(G35,O35)</f>
        <v>2.8822319999999998E-2</v>
      </c>
      <c r="AC35" s="9">
        <f t="shared" si="3"/>
        <v>1.0166255526966601</v>
      </c>
      <c r="AD35" s="9">
        <f t="shared" si="4"/>
        <v>20.299904344965984</v>
      </c>
      <c r="AE35" s="7" t="str">
        <f>IF(AND(M35="Failed", V35="Failed"), "Failed", "Passed")</f>
        <v>Passed</v>
      </c>
      <c r="AF35" s="14" t="s">
        <v>115</v>
      </c>
      <c r="AG35" s="14">
        <v>0.61307043999999999</v>
      </c>
      <c r="AH35" s="14" t="s">
        <v>10</v>
      </c>
      <c r="AI35">
        <v>1</v>
      </c>
      <c r="AJ35">
        <v>3</v>
      </c>
    </row>
    <row r="36" spans="1:37" x14ac:dyDescent="0.2">
      <c r="A36" t="s">
        <v>47</v>
      </c>
      <c r="B36">
        <v>1</v>
      </c>
      <c r="C36" s="14" t="s">
        <v>112</v>
      </c>
      <c r="D36" s="14">
        <v>0.61290036699999995</v>
      </c>
      <c r="E36" s="14" t="s">
        <v>10</v>
      </c>
      <c r="F36" s="1" t="s">
        <v>9</v>
      </c>
      <c r="G36" s="2">
        <v>20.065559085</v>
      </c>
      <c r="H36" s="2">
        <v>1.6717699999999999E-4</v>
      </c>
      <c r="I36" s="2">
        <v>1.47579E-4</v>
      </c>
      <c r="J36" s="2">
        <v>1.5169893E-2</v>
      </c>
      <c r="K36" s="2">
        <v>20.038477712999999</v>
      </c>
      <c r="L36" s="2">
        <f t="shared" si="0"/>
        <v>3.054489358625314E-2</v>
      </c>
      <c r="M36" s="1" t="s">
        <v>11</v>
      </c>
      <c r="N36" s="4" t="s">
        <v>12</v>
      </c>
      <c r="O36" s="5">
        <v>20.020007593999999</v>
      </c>
      <c r="P36" s="5">
        <v>1.5109499999999999E-4</v>
      </c>
      <c r="Q36" s="5">
        <v>1.2285700000000001E-4</v>
      </c>
      <c r="R36" s="5">
        <v>8.5267450000000005E-3</v>
      </c>
      <c r="S36" s="5">
        <v>20.005285579999999</v>
      </c>
      <c r="T36" s="5">
        <f t="shared" si="1"/>
        <v>1.0022752983876815</v>
      </c>
      <c r="U36" s="5">
        <f>$D36/O36</f>
        <v>3.0614392333381847E-2</v>
      </c>
      <c r="V36" s="4" t="s">
        <v>11</v>
      </c>
      <c r="W36" s="10" t="s">
        <v>109</v>
      </c>
      <c r="X36" s="10">
        <v>20.092126814</v>
      </c>
      <c r="Y36" s="10">
        <f t="shared" si="2"/>
        <v>3.0504504210720831E-2</v>
      </c>
      <c r="Z36" s="10" t="s">
        <v>11</v>
      </c>
      <c r="AA36" s="7" t="s">
        <v>106</v>
      </c>
      <c r="AB36" s="9">
        <f>MIN(G36,O36)</f>
        <v>20.020007593999999</v>
      </c>
      <c r="AC36" s="9">
        <f t="shared" si="3"/>
        <v>1.00360235727491</v>
      </c>
      <c r="AD36" s="9">
        <f t="shared" si="4"/>
        <v>3.0614392333381847E-2</v>
      </c>
      <c r="AE36" s="7" t="str">
        <f>IF(AND(M36="Failed", V36="Failed"), "Failed", "Passed")</f>
        <v>Failed</v>
      </c>
      <c r="AF36" s="14" t="s">
        <v>115</v>
      </c>
      <c r="AG36" s="14">
        <v>0.61835236100000002</v>
      </c>
      <c r="AH36" s="14" t="s">
        <v>10</v>
      </c>
      <c r="AI36">
        <v>2</v>
      </c>
      <c r="AJ36">
        <v>2</v>
      </c>
      <c r="AK36" t="s">
        <v>117</v>
      </c>
    </row>
    <row r="37" spans="1:37" x14ac:dyDescent="0.2">
      <c r="A37" t="s">
        <v>48</v>
      </c>
      <c r="B37">
        <v>1</v>
      </c>
      <c r="C37" s="14" t="s">
        <v>112</v>
      </c>
      <c r="D37" s="14">
        <v>0.54545960199999999</v>
      </c>
      <c r="E37" s="14" t="s">
        <v>10</v>
      </c>
      <c r="F37" s="1" t="s">
        <v>9</v>
      </c>
      <c r="G37" s="2">
        <v>5.1071677000000003E-2</v>
      </c>
      <c r="H37" s="2">
        <v>4.0957999999999999E-4</v>
      </c>
      <c r="I37" s="2">
        <v>6.5208300000000002E-4</v>
      </c>
      <c r="J37" s="2">
        <v>1.7421264999999998E-2</v>
      </c>
      <c r="K37" s="2">
        <v>1.7062664000000002E-2</v>
      </c>
      <c r="L37" s="2">
        <f t="shared" si="0"/>
        <v>10.680275918881613</v>
      </c>
      <c r="M37" s="1" t="s">
        <v>10</v>
      </c>
      <c r="N37" s="4" t="s">
        <v>12</v>
      </c>
      <c r="O37" s="5">
        <v>3.0941677000000001E-2</v>
      </c>
      <c r="P37" s="5">
        <v>1.2589799999999999E-4</v>
      </c>
      <c r="Q37" s="5">
        <v>1.5955599999999999E-4</v>
      </c>
      <c r="R37" s="5">
        <v>1.2421336999999999E-2</v>
      </c>
      <c r="S37" s="5">
        <v>7.8093570000000003E-3</v>
      </c>
      <c r="T37" s="5">
        <f t="shared" si="1"/>
        <v>1.6505788293246033</v>
      </c>
      <c r="U37" s="5">
        <f>$D37/O37</f>
        <v>17.628637323051365</v>
      </c>
      <c r="V37" s="4" t="s">
        <v>10</v>
      </c>
      <c r="W37" s="10" t="s">
        <v>109</v>
      </c>
      <c r="X37" s="10">
        <v>5.9335484000000001E-2</v>
      </c>
      <c r="Y37" s="10">
        <f t="shared" si="2"/>
        <v>9.1928061461502519</v>
      </c>
      <c r="Z37" s="10" t="s">
        <v>10</v>
      </c>
      <c r="AA37" s="7" t="s">
        <v>106</v>
      </c>
      <c r="AB37" s="9">
        <f>MIN(G37,O37)</f>
        <v>3.0941677000000001E-2</v>
      </c>
      <c r="AC37" s="9">
        <f t="shared" si="3"/>
        <v>1.9176557237023708</v>
      </c>
      <c r="AD37" s="9">
        <f t="shared" si="4"/>
        <v>17.628637323051365</v>
      </c>
      <c r="AE37" s="7" t="str">
        <f>IF(AND(M37="Failed", V37="Failed"), "Failed", "Passed")</f>
        <v>Passed</v>
      </c>
      <c r="AF37" s="14" t="s">
        <v>115</v>
      </c>
      <c r="AG37" s="14">
        <v>0.54892832599999997</v>
      </c>
      <c r="AH37" s="14" t="s">
        <v>10</v>
      </c>
      <c r="AI37">
        <v>1</v>
      </c>
      <c r="AJ37">
        <v>1</v>
      </c>
    </row>
    <row r="38" spans="1:37" x14ac:dyDescent="0.2">
      <c r="A38" t="s">
        <v>49</v>
      </c>
      <c r="B38">
        <v>1</v>
      </c>
      <c r="C38" s="14" t="s">
        <v>112</v>
      </c>
      <c r="D38" s="14">
        <v>0.52997121599999997</v>
      </c>
      <c r="E38" s="14" t="s">
        <v>10</v>
      </c>
      <c r="F38" s="1" t="s">
        <v>9</v>
      </c>
      <c r="G38" s="2">
        <v>20.041222638000001</v>
      </c>
      <c r="H38" s="2">
        <v>9.3344999999999995E-5</v>
      </c>
      <c r="I38" s="2">
        <v>1.5624599999999999E-4</v>
      </c>
      <c r="J38" s="2">
        <v>1.6149340000000002E-2</v>
      </c>
      <c r="K38" s="2">
        <v>20.01732204</v>
      </c>
      <c r="L38" s="2">
        <f t="shared" si="0"/>
        <v>2.6444056112381379E-2</v>
      </c>
      <c r="M38" s="1" t="s">
        <v>11</v>
      </c>
      <c r="N38" s="4" t="s">
        <v>12</v>
      </c>
      <c r="O38" s="5">
        <v>1.0866295459999999</v>
      </c>
      <c r="P38" s="5">
        <v>6.3511999999999998E-5</v>
      </c>
      <c r="Q38" s="5">
        <v>5.9401000000000003E-5</v>
      </c>
      <c r="R38" s="5">
        <v>1.1085625999999999E-2</v>
      </c>
      <c r="S38" s="5">
        <v>1.065427098</v>
      </c>
      <c r="T38" s="5">
        <f t="shared" si="1"/>
        <v>18.443472949703875</v>
      </c>
      <c r="U38" s="5">
        <f>$D38/O38</f>
        <v>0.48772023358915734</v>
      </c>
      <c r="V38" s="4" t="s">
        <v>11</v>
      </c>
      <c r="W38" s="10" t="s">
        <v>109</v>
      </c>
      <c r="X38" s="10">
        <v>20.048727462999999</v>
      </c>
      <c r="Y38" s="10">
        <f t="shared" si="2"/>
        <v>2.6434157328841135E-2</v>
      </c>
      <c r="Z38" s="10" t="s">
        <v>11</v>
      </c>
      <c r="AA38" s="7" t="s">
        <v>106</v>
      </c>
      <c r="AB38" s="9">
        <f>MIN(G38,O38)</f>
        <v>1.0866295459999999</v>
      </c>
      <c r="AC38" s="9">
        <f t="shared" si="3"/>
        <v>18.450379466306174</v>
      </c>
      <c r="AD38" s="9">
        <f t="shared" si="4"/>
        <v>0.48772023358915734</v>
      </c>
      <c r="AE38" s="7" t="str">
        <f>IF(AND(M38="Failed", V38="Failed"), "Failed", "Passed")</f>
        <v>Failed</v>
      </c>
      <c r="AF38" s="14" t="s">
        <v>115</v>
      </c>
      <c r="AG38" s="14">
        <v>0.55614927199999997</v>
      </c>
      <c r="AH38" s="14" t="s">
        <v>10</v>
      </c>
      <c r="AI38">
        <v>1</v>
      </c>
      <c r="AJ38">
        <v>2</v>
      </c>
      <c r="AK38" t="s">
        <v>117</v>
      </c>
    </row>
    <row r="39" spans="1:37" x14ac:dyDescent="0.2">
      <c r="A39" t="s">
        <v>50</v>
      </c>
      <c r="B39">
        <v>1</v>
      </c>
      <c r="C39" s="14" t="s">
        <v>112</v>
      </c>
      <c r="D39" s="14">
        <v>0.51654952700000001</v>
      </c>
      <c r="E39" s="14" t="s">
        <v>10</v>
      </c>
      <c r="F39" s="1" t="s">
        <v>9</v>
      </c>
      <c r="G39" s="2">
        <v>7.0258274999999995E-2</v>
      </c>
      <c r="H39" s="2">
        <v>6.0253000000000001E-5</v>
      </c>
      <c r="I39" s="2">
        <v>3.31384E-4</v>
      </c>
      <c r="J39" s="2">
        <v>1.4962801E-2</v>
      </c>
      <c r="K39" s="2">
        <v>4.0557454E-2</v>
      </c>
      <c r="L39" s="2">
        <f t="shared" si="0"/>
        <v>7.3521521415093103</v>
      </c>
      <c r="M39" s="1" t="s">
        <v>10</v>
      </c>
      <c r="N39" s="4" t="s">
        <v>12</v>
      </c>
      <c r="O39" s="5">
        <v>2.6911779E-2</v>
      </c>
      <c r="P39" s="5">
        <v>2.2286E-5</v>
      </c>
      <c r="Q39" s="5">
        <v>1.5874300000000001E-4</v>
      </c>
      <c r="R39" s="5">
        <v>1.1096330999999999E-2</v>
      </c>
      <c r="S39" s="5">
        <v>6.068319E-3</v>
      </c>
      <c r="T39" s="5">
        <f t="shared" si="1"/>
        <v>2.6106886133391627</v>
      </c>
      <c r="U39" s="5">
        <f>$D39/O39</f>
        <v>19.194179879375497</v>
      </c>
      <c r="V39" s="4" t="s">
        <v>10</v>
      </c>
      <c r="W39" s="10" t="s">
        <v>109</v>
      </c>
      <c r="X39" s="10">
        <v>7.3758102000000006E-2</v>
      </c>
      <c r="Y39" s="10">
        <f t="shared" si="2"/>
        <v>7.0032920180077296</v>
      </c>
      <c r="Z39" s="10" t="s">
        <v>10</v>
      </c>
      <c r="AA39" s="7" t="s">
        <v>106</v>
      </c>
      <c r="AB39" s="9">
        <f>MIN(G39,O39)</f>
        <v>2.6911779E-2</v>
      </c>
      <c r="AC39" s="9">
        <f t="shared" si="3"/>
        <v>2.7407367606578519</v>
      </c>
      <c r="AD39" s="9">
        <f t="shared" si="4"/>
        <v>19.194179879375497</v>
      </c>
      <c r="AE39" s="7" t="str">
        <f>IF(AND(M39="Failed", V39="Failed"), "Failed", "Passed")</f>
        <v>Passed</v>
      </c>
      <c r="AF39" s="14" t="s">
        <v>115</v>
      </c>
      <c r="AG39" s="14">
        <v>0.75105840099999999</v>
      </c>
      <c r="AH39" s="14" t="s">
        <v>10</v>
      </c>
      <c r="AI39">
        <v>2</v>
      </c>
      <c r="AJ39">
        <v>0</v>
      </c>
    </row>
    <row r="40" spans="1:37" x14ac:dyDescent="0.2">
      <c r="A40" t="s">
        <v>51</v>
      </c>
      <c r="B40">
        <v>1</v>
      </c>
      <c r="C40" s="14" t="s">
        <v>112</v>
      </c>
      <c r="D40" s="14">
        <v>0.81219219799999998</v>
      </c>
      <c r="E40" s="14" t="s">
        <v>10</v>
      </c>
      <c r="F40" s="1" t="s">
        <v>9</v>
      </c>
      <c r="G40" s="2">
        <v>4.7099585999999999E-2</v>
      </c>
      <c r="H40" s="2">
        <v>2.6098E-5</v>
      </c>
      <c r="I40" s="2">
        <v>1.3949399999999999E-4</v>
      </c>
      <c r="J40" s="2">
        <v>1.5867961E-2</v>
      </c>
      <c r="K40" s="2">
        <v>2.3527022000000002E-2</v>
      </c>
      <c r="L40" s="2">
        <f t="shared" si="0"/>
        <v>17.244147284012222</v>
      </c>
      <c r="M40" s="1" t="s">
        <v>10</v>
      </c>
      <c r="N40" s="4" t="s">
        <v>12</v>
      </c>
      <c r="O40" s="5">
        <v>2.6737360000000002E-2</v>
      </c>
      <c r="P40" s="5">
        <v>3.8430000000000003E-5</v>
      </c>
      <c r="Q40" s="5">
        <v>1.39882E-4</v>
      </c>
      <c r="R40" s="5">
        <v>1.1438360999999999E-2</v>
      </c>
      <c r="S40" s="5">
        <v>4.1607329999999998E-3</v>
      </c>
      <c r="T40" s="5">
        <f t="shared" si="1"/>
        <v>1.7615645673320026</v>
      </c>
      <c r="U40" s="5">
        <f>$D40/O40</f>
        <v>30.376678849370318</v>
      </c>
      <c r="V40" s="4" t="s">
        <v>10</v>
      </c>
      <c r="W40" s="10" t="s">
        <v>109</v>
      </c>
      <c r="X40" s="10">
        <v>3.0870456000000001E-2</v>
      </c>
      <c r="Y40" s="10">
        <f t="shared" si="2"/>
        <v>26.309692283133103</v>
      </c>
      <c r="Z40" s="10" t="s">
        <v>10</v>
      </c>
      <c r="AA40" s="7" t="s">
        <v>106</v>
      </c>
      <c r="AB40" s="9">
        <f>MIN(G40,O40)</f>
        <v>2.6737360000000002E-2</v>
      </c>
      <c r="AC40" s="9">
        <f t="shared" si="3"/>
        <v>1.1545813049605496</v>
      </c>
      <c r="AD40" s="9">
        <f t="shared" si="4"/>
        <v>30.376678849370318</v>
      </c>
      <c r="AE40" s="7" t="str">
        <f>IF(AND(M40="Failed", V40="Failed"), "Failed", "Passed")</f>
        <v>Passed</v>
      </c>
      <c r="AF40" s="14" t="s">
        <v>115</v>
      </c>
      <c r="AG40" s="14">
        <v>0.95991233799999998</v>
      </c>
      <c r="AH40" s="14" t="s">
        <v>10</v>
      </c>
      <c r="AI40">
        <v>8</v>
      </c>
      <c r="AJ40">
        <v>0</v>
      </c>
    </row>
    <row r="41" spans="1:37" x14ac:dyDescent="0.2">
      <c r="A41" t="s">
        <v>52</v>
      </c>
      <c r="B41">
        <v>1</v>
      </c>
      <c r="C41" s="14" t="s">
        <v>112</v>
      </c>
      <c r="D41" s="14">
        <v>0.86385825999999999</v>
      </c>
      <c r="E41" s="14" t="s">
        <v>10</v>
      </c>
      <c r="F41" s="1" t="s">
        <v>9</v>
      </c>
      <c r="G41" s="2">
        <v>8.7188967000000006E-2</v>
      </c>
      <c r="H41" s="2">
        <v>1.4272800000000001E-4</v>
      </c>
      <c r="I41" s="2">
        <v>5.0910500000000004E-4</v>
      </c>
      <c r="J41" s="2">
        <v>5.1105984E-2</v>
      </c>
      <c r="K41" s="2">
        <v>2.2983825999999999E-2</v>
      </c>
      <c r="L41" s="2">
        <f t="shared" si="0"/>
        <v>9.9078850194428831</v>
      </c>
      <c r="M41" s="1" t="s">
        <v>10</v>
      </c>
      <c r="N41" s="4" t="s">
        <v>12</v>
      </c>
      <c r="O41" s="5">
        <v>5.2532215E-2</v>
      </c>
      <c r="P41" s="5">
        <v>7.5970999999999995E-5</v>
      </c>
      <c r="Q41" s="5">
        <v>1.64026E-4</v>
      </c>
      <c r="R41" s="5">
        <v>1.1927767000000001E-2</v>
      </c>
      <c r="S41" s="5">
        <v>2.2830849E-2</v>
      </c>
      <c r="T41" s="5">
        <f t="shared" si="1"/>
        <v>1.6597237904398283</v>
      </c>
      <c r="U41" s="5">
        <f>$D41/O41</f>
        <v>16.444352479711736</v>
      </c>
      <c r="V41" s="4" t="s">
        <v>11</v>
      </c>
      <c r="W41" s="10" t="s">
        <v>109</v>
      </c>
      <c r="X41" s="10">
        <v>9.2272401000000004E-2</v>
      </c>
      <c r="Y41" s="10">
        <f t="shared" si="2"/>
        <v>9.3620438033253297</v>
      </c>
      <c r="Z41" s="10" t="s">
        <v>10</v>
      </c>
      <c r="AA41" s="7" t="s">
        <v>106</v>
      </c>
      <c r="AB41" s="9">
        <f>MIN(G41,O41)</f>
        <v>5.2532215E-2</v>
      </c>
      <c r="AC41" s="9">
        <f t="shared" si="3"/>
        <v>1.7564917260770367</v>
      </c>
      <c r="AD41" s="9">
        <f t="shared" si="4"/>
        <v>16.444352479711736</v>
      </c>
      <c r="AE41" s="7" t="str">
        <f>IF(AND(M41="Failed", V41="Failed"), "Failed", "Passed")</f>
        <v>Passed</v>
      </c>
      <c r="AF41" s="14" t="s">
        <v>115</v>
      </c>
      <c r="AG41" s="14">
        <v>0.88658177500000002</v>
      </c>
      <c r="AH41" s="14" t="s">
        <v>10</v>
      </c>
      <c r="AI41">
        <v>8</v>
      </c>
      <c r="AJ41">
        <v>2</v>
      </c>
    </row>
    <row r="42" spans="1:37" x14ac:dyDescent="0.2">
      <c r="A42" t="s">
        <v>53</v>
      </c>
      <c r="B42">
        <v>1</v>
      </c>
      <c r="C42" s="14" t="s">
        <v>112</v>
      </c>
      <c r="D42" s="14">
        <v>0.78591908600000004</v>
      </c>
      <c r="E42" s="14" t="s">
        <v>10</v>
      </c>
      <c r="F42" s="1" t="s">
        <v>9</v>
      </c>
      <c r="G42" s="2">
        <v>5.5646569E-2</v>
      </c>
      <c r="H42" s="2">
        <v>1.38753E-4</v>
      </c>
      <c r="I42" s="2">
        <v>2.2986299999999999E-4</v>
      </c>
      <c r="J42" s="2">
        <v>1.9614751999999999E-2</v>
      </c>
      <c r="K42" s="2">
        <v>2.5429332999999998E-2</v>
      </c>
      <c r="L42" s="2">
        <f t="shared" si="0"/>
        <v>14.123405991122292</v>
      </c>
      <c r="M42" s="1" t="s">
        <v>10</v>
      </c>
      <c r="N42" s="4" t="s">
        <v>12</v>
      </c>
      <c r="O42" s="5">
        <v>3.1085990000000001E-2</v>
      </c>
      <c r="P42" s="5">
        <v>5.1459000000000003E-5</v>
      </c>
      <c r="Q42" s="5">
        <v>8.1005000000000001E-5</v>
      </c>
      <c r="R42" s="5">
        <v>1.0741614999999999E-2</v>
      </c>
      <c r="S42" s="5">
        <v>1.0826694E-2</v>
      </c>
      <c r="T42" s="5">
        <f t="shared" si="1"/>
        <v>1.7900851476822839</v>
      </c>
      <c r="U42" s="5">
        <f>$D42/O42</f>
        <v>25.282099299395</v>
      </c>
      <c r="V42" s="4" t="s">
        <v>11</v>
      </c>
      <c r="W42" s="10" t="s">
        <v>109</v>
      </c>
      <c r="X42" s="10">
        <v>5.9284015000000002E-2</v>
      </c>
      <c r="Y42" s="10">
        <f t="shared" si="2"/>
        <v>13.256846487202326</v>
      </c>
      <c r="Z42" s="10" t="s">
        <v>10</v>
      </c>
      <c r="AA42" s="7" t="s">
        <v>106</v>
      </c>
      <c r="AB42" s="9">
        <f>MIN(G42,O42)</f>
        <v>3.1085990000000001E-2</v>
      </c>
      <c r="AC42" s="9">
        <f t="shared" si="3"/>
        <v>1.907097538151431</v>
      </c>
      <c r="AD42" s="9">
        <f t="shared" si="4"/>
        <v>25.282099299395</v>
      </c>
      <c r="AE42" s="7" t="str">
        <f>IF(AND(M42="Failed", V42="Failed"), "Failed", "Passed")</f>
        <v>Passed</v>
      </c>
      <c r="AF42" s="14" t="s">
        <v>115</v>
      </c>
      <c r="AG42" s="14">
        <v>0.98041266199999999</v>
      </c>
      <c r="AH42" s="14" t="s">
        <v>10</v>
      </c>
      <c r="AI42">
        <v>8</v>
      </c>
      <c r="AJ42">
        <v>2</v>
      </c>
    </row>
    <row r="43" spans="1:37" x14ac:dyDescent="0.2">
      <c r="A43" t="s">
        <v>54</v>
      </c>
      <c r="B43">
        <v>1</v>
      </c>
      <c r="C43" s="14" t="s">
        <v>112</v>
      </c>
      <c r="D43" s="14">
        <v>12.406280356</v>
      </c>
      <c r="E43" s="14" t="s">
        <v>10</v>
      </c>
      <c r="F43" s="1" t="s">
        <v>9</v>
      </c>
      <c r="G43" s="2">
        <v>0.14073761600000001</v>
      </c>
      <c r="H43" s="2">
        <v>2.5009000000000001E-5</v>
      </c>
      <c r="I43" s="2">
        <v>2.1066499999999999E-4</v>
      </c>
      <c r="J43" s="2">
        <v>2.2496987E-2</v>
      </c>
      <c r="K43" s="2">
        <v>9.8729042000000003E-2</v>
      </c>
      <c r="L43" s="2">
        <f t="shared" si="0"/>
        <v>88.15184389651732</v>
      </c>
      <c r="M43" s="1" t="s">
        <v>10</v>
      </c>
      <c r="N43" s="4" t="s">
        <v>12</v>
      </c>
      <c r="O43" s="5">
        <v>6.2770689000000005E-2</v>
      </c>
      <c r="P43" s="5">
        <v>2.1043000000000002E-5</v>
      </c>
      <c r="Q43" s="5">
        <v>1.2582899999999999E-4</v>
      </c>
      <c r="R43" s="5">
        <v>1.1514493000000001E-2</v>
      </c>
      <c r="S43" s="5">
        <v>3.6798891E-2</v>
      </c>
      <c r="T43" s="5">
        <f t="shared" si="1"/>
        <v>2.242091304748941</v>
      </c>
      <c r="U43" s="5">
        <f>$D43/O43</f>
        <v>197.6444826979675</v>
      </c>
      <c r="V43" s="4" t="s">
        <v>10</v>
      </c>
      <c r="W43" s="10" t="s">
        <v>109</v>
      </c>
      <c r="X43" s="10">
        <v>0.142161287</v>
      </c>
      <c r="Y43" s="10">
        <f t="shared" si="2"/>
        <v>87.269049245453161</v>
      </c>
      <c r="Z43" s="10" t="s">
        <v>10</v>
      </c>
      <c r="AA43" s="7" t="s">
        <v>106</v>
      </c>
      <c r="AB43" s="9">
        <f>MIN(G43,O43)</f>
        <v>6.2770689000000005E-2</v>
      </c>
      <c r="AC43" s="9">
        <f t="shared" si="3"/>
        <v>2.2647718109323285</v>
      </c>
      <c r="AD43" s="9">
        <f t="shared" si="4"/>
        <v>197.6444826979675</v>
      </c>
      <c r="AE43" s="7" t="str">
        <f>IF(AND(M43="Failed", V43="Failed"), "Failed", "Passed")</f>
        <v>Passed</v>
      </c>
      <c r="AF43" s="14" t="s">
        <v>115</v>
      </c>
      <c r="AG43" s="14">
        <v>13.270104626</v>
      </c>
      <c r="AH43" s="14" t="s">
        <v>10</v>
      </c>
      <c r="AI43">
        <v>15</v>
      </c>
      <c r="AJ43">
        <v>0</v>
      </c>
    </row>
    <row r="44" spans="1:37" x14ac:dyDescent="0.2">
      <c r="A44" t="s">
        <v>55</v>
      </c>
      <c r="B44">
        <v>1</v>
      </c>
      <c r="C44" s="14" t="s">
        <v>112</v>
      </c>
      <c r="D44" s="14">
        <v>0.49797103999999998</v>
      </c>
      <c r="E44" s="14" t="s">
        <v>10</v>
      </c>
      <c r="F44" s="1" t="s">
        <v>9</v>
      </c>
      <c r="G44" s="2">
        <v>3.7107505999999998E-2</v>
      </c>
      <c r="H44" s="2">
        <v>2.1175E-5</v>
      </c>
      <c r="I44" s="2">
        <v>6.2248000000000004E-5</v>
      </c>
      <c r="J44" s="2">
        <v>1.0710423E-2</v>
      </c>
      <c r="K44" s="2">
        <v>2.1049156999999999E-2</v>
      </c>
      <c r="L44" s="2">
        <f t="shared" si="0"/>
        <v>13.419684955383421</v>
      </c>
      <c r="M44" s="1" t="s">
        <v>10</v>
      </c>
      <c r="N44" s="4" t="s">
        <v>12</v>
      </c>
      <c r="O44" s="5">
        <v>2.469228E-2</v>
      </c>
      <c r="P44" s="5">
        <v>2.7800000000000001E-5</v>
      </c>
      <c r="Q44" s="5">
        <v>4.5246E-5</v>
      </c>
      <c r="R44" s="5">
        <v>1.1352136000000001E-2</v>
      </c>
      <c r="S44" s="5">
        <v>3.3703320000000002E-3</v>
      </c>
      <c r="T44" s="5">
        <f t="shared" si="1"/>
        <v>1.5027978785272158</v>
      </c>
      <c r="U44" s="5">
        <f>$D44/O44</f>
        <v>20.167074081453798</v>
      </c>
      <c r="V44" s="4" t="s">
        <v>10</v>
      </c>
      <c r="W44" s="10" t="s">
        <v>109</v>
      </c>
      <c r="X44" s="10">
        <v>2.9091445E-2</v>
      </c>
      <c r="Y44" s="10">
        <f t="shared" si="2"/>
        <v>17.117439164675385</v>
      </c>
      <c r="Z44" s="10" t="s">
        <v>10</v>
      </c>
      <c r="AA44" s="7" t="s">
        <v>106</v>
      </c>
      <c r="AB44" s="9">
        <f>MIN(G44,O44)</f>
        <v>2.469228E-2</v>
      </c>
      <c r="AC44" s="9">
        <f t="shared" si="3"/>
        <v>1.1781595300231489</v>
      </c>
      <c r="AD44" s="9">
        <f t="shared" si="4"/>
        <v>20.167074081453798</v>
      </c>
      <c r="AE44" s="7" t="str">
        <f>IF(AND(M44="Failed", V44="Failed"), "Failed", "Passed")</f>
        <v>Passed</v>
      </c>
      <c r="AF44" s="14" t="s">
        <v>115</v>
      </c>
      <c r="AG44" s="14">
        <v>0.49300593399999998</v>
      </c>
      <c r="AH44" s="14" t="s">
        <v>10</v>
      </c>
      <c r="AI44">
        <v>2</v>
      </c>
      <c r="AJ44">
        <v>0</v>
      </c>
    </row>
    <row r="45" spans="1:37" x14ac:dyDescent="0.2">
      <c r="A45" t="s">
        <v>56</v>
      </c>
      <c r="B45">
        <v>1</v>
      </c>
      <c r="C45" s="14" t="s">
        <v>112</v>
      </c>
      <c r="D45" s="14">
        <v>1.3654246830000001</v>
      </c>
      <c r="E45" s="14" t="s">
        <v>10</v>
      </c>
      <c r="F45" s="1" t="s">
        <v>9</v>
      </c>
      <c r="G45" s="2">
        <v>0.133204562</v>
      </c>
      <c r="H45" s="2">
        <v>8.5760000000000006E-5</v>
      </c>
      <c r="I45" s="2">
        <v>3.3682500000000002E-4</v>
      </c>
      <c r="J45" s="2">
        <v>5.2328158E-2</v>
      </c>
      <c r="K45" s="2">
        <v>7.2487080999999995E-2</v>
      </c>
      <c r="L45" s="2">
        <f t="shared" si="0"/>
        <v>10.250584983718502</v>
      </c>
      <c r="M45" s="1" t="s">
        <v>10</v>
      </c>
      <c r="N45" s="4" t="s">
        <v>12</v>
      </c>
      <c r="O45" s="5">
        <v>3.9572601999999998E-2</v>
      </c>
      <c r="P45" s="5">
        <v>7.6432000000000003E-5</v>
      </c>
      <c r="Q45" s="5">
        <v>1.9261199999999999E-4</v>
      </c>
      <c r="R45" s="5">
        <v>1.1496943000000001E-2</v>
      </c>
      <c r="S45" s="5">
        <v>1.8499437000000001E-2</v>
      </c>
      <c r="T45" s="5">
        <f t="shared" si="1"/>
        <v>3.3660804513183136</v>
      </c>
      <c r="U45" s="5">
        <f>$D45/O45</f>
        <v>34.504293728271904</v>
      </c>
      <c r="V45" s="4" t="s">
        <v>10</v>
      </c>
      <c r="W45" s="10" t="s">
        <v>109</v>
      </c>
      <c r="X45" s="10">
        <v>0.14527963999999999</v>
      </c>
      <c r="Y45" s="10">
        <f t="shared" si="2"/>
        <v>9.3985962726779899</v>
      </c>
      <c r="Z45" s="10" t="s">
        <v>10</v>
      </c>
      <c r="AA45" s="7" t="s">
        <v>106</v>
      </c>
      <c r="AB45" s="9">
        <f>MIN(G45,O45)</f>
        <v>3.9572601999999998E-2</v>
      </c>
      <c r="AC45" s="9">
        <f t="shared" si="3"/>
        <v>3.6712177784013291</v>
      </c>
      <c r="AD45" s="9">
        <f t="shared" si="4"/>
        <v>34.504293728271904</v>
      </c>
      <c r="AE45" s="7" t="str">
        <f>IF(AND(M45="Failed", V45="Failed"), "Failed", "Passed")</f>
        <v>Passed</v>
      </c>
      <c r="AF45" s="14" t="s">
        <v>115</v>
      </c>
      <c r="AG45" s="14">
        <v>1.378196274</v>
      </c>
      <c r="AH45" s="14" t="s">
        <v>10</v>
      </c>
      <c r="AI45">
        <v>8</v>
      </c>
      <c r="AJ45">
        <v>2</v>
      </c>
    </row>
    <row r="46" spans="1:37" x14ac:dyDescent="0.2">
      <c r="A46" t="s">
        <v>57</v>
      </c>
      <c r="B46">
        <v>1</v>
      </c>
      <c r="C46" s="14" t="s">
        <v>112</v>
      </c>
      <c r="D46" s="14">
        <v>0.56749389900000002</v>
      </c>
      <c r="E46" s="14" t="s">
        <v>10</v>
      </c>
      <c r="F46" s="1" t="s">
        <v>9</v>
      </c>
      <c r="G46" s="2">
        <v>5.0993363E-2</v>
      </c>
      <c r="H46" s="2">
        <v>7.8411000000000005E-5</v>
      </c>
      <c r="I46" s="2">
        <v>1.6092100000000001E-4</v>
      </c>
      <c r="J46" s="2">
        <v>1.8294463E-2</v>
      </c>
      <c r="K46" s="2">
        <v>2.396916E-2</v>
      </c>
      <c r="L46" s="2">
        <f t="shared" si="0"/>
        <v>11.128779621771564</v>
      </c>
      <c r="M46" s="1" t="s">
        <v>10</v>
      </c>
      <c r="N46" s="4" t="s">
        <v>12</v>
      </c>
      <c r="O46" s="5">
        <v>3.8379769000000001E-2</v>
      </c>
      <c r="P46" s="5">
        <v>1.0200900000000001E-4</v>
      </c>
      <c r="Q46" s="5">
        <v>7.8894999999999996E-5</v>
      </c>
      <c r="R46" s="5">
        <v>1.9835629E-2</v>
      </c>
      <c r="S46" s="5">
        <v>9.4237620000000005E-3</v>
      </c>
      <c r="T46" s="5">
        <f t="shared" si="1"/>
        <v>1.3286521604650616</v>
      </c>
      <c r="U46" s="5">
        <f>$D46/O46</f>
        <v>14.786277087806338</v>
      </c>
      <c r="V46" s="4" t="s">
        <v>11</v>
      </c>
      <c r="W46" s="10" t="s">
        <v>109</v>
      </c>
      <c r="X46" s="10">
        <v>5.7837586000000003E-2</v>
      </c>
      <c r="Y46" s="10">
        <f t="shared" si="2"/>
        <v>9.8118531260969295</v>
      </c>
      <c r="Z46" s="10" t="s">
        <v>10</v>
      </c>
      <c r="AA46" s="7" t="s">
        <v>106</v>
      </c>
      <c r="AB46" s="9">
        <f>MIN(G46,O46)</f>
        <v>3.8379769000000001E-2</v>
      </c>
      <c r="AC46" s="9">
        <f t="shared" si="3"/>
        <v>1.5069810868324924</v>
      </c>
      <c r="AD46" s="9">
        <f t="shared" si="4"/>
        <v>14.786277087806338</v>
      </c>
      <c r="AE46" s="7" t="str">
        <f>IF(AND(M46="Failed", V46="Failed"), "Failed", "Passed")</f>
        <v>Passed</v>
      </c>
      <c r="AF46" s="14" t="s">
        <v>115</v>
      </c>
      <c r="AG46" s="14">
        <v>0.71383121900000002</v>
      </c>
      <c r="AH46" s="14" t="s">
        <v>10</v>
      </c>
      <c r="AI46">
        <v>4</v>
      </c>
      <c r="AJ46">
        <v>2</v>
      </c>
    </row>
    <row r="47" spans="1:37" x14ac:dyDescent="0.2">
      <c r="A47" t="s">
        <v>58</v>
      </c>
      <c r="B47">
        <v>1</v>
      </c>
      <c r="C47" s="14" t="s">
        <v>112</v>
      </c>
      <c r="D47" s="14">
        <v>0.50564305899999995</v>
      </c>
      <c r="E47" s="14" t="s">
        <v>10</v>
      </c>
      <c r="F47" s="1" t="s">
        <v>9</v>
      </c>
      <c r="G47" s="2">
        <v>4.7447772999999999E-2</v>
      </c>
      <c r="H47" s="2">
        <v>2.2342999999999999E-5</v>
      </c>
      <c r="I47" s="2">
        <v>6.8047999999999996E-5</v>
      </c>
      <c r="J47" s="2">
        <v>1.4263665999999999E-2</v>
      </c>
      <c r="K47" s="2">
        <v>2.7513479E-2</v>
      </c>
      <c r="L47" s="2">
        <f t="shared" si="0"/>
        <v>10.656834389255739</v>
      </c>
      <c r="M47" s="1" t="s">
        <v>10</v>
      </c>
      <c r="N47" s="4" t="s">
        <v>12</v>
      </c>
      <c r="O47" s="5">
        <v>3.3716994E-2</v>
      </c>
      <c r="P47" s="5">
        <v>2.6962999999999999E-5</v>
      </c>
      <c r="Q47" s="5">
        <v>7.7645000000000006E-5</v>
      </c>
      <c r="R47" s="5">
        <v>1.4330218E-2</v>
      </c>
      <c r="S47" s="5">
        <v>9.3712799999999992E-3</v>
      </c>
      <c r="T47" s="5">
        <f t="shared" si="1"/>
        <v>1.4072361551566548</v>
      </c>
      <c r="U47" s="5">
        <f>$D47/O47</f>
        <v>14.996682652077464</v>
      </c>
      <c r="V47" s="4" t="s">
        <v>10</v>
      </c>
      <c r="W47" s="10" t="s">
        <v>109</v>
      </c>
      <c r="X47" s="10">
        <v>6.9543752E-2</v>
      </c>
      <c r="Y47" s="10">
        <f t="shared" si="2"/>
        <v>7.2708625068144146</v>
      </c>
      <c r="Z47" s="10" t="s">
        <v>10</v>
      </c>
      <c r="AA47" s="7" t="s">
        <v>106</v>
      </c>
      <c r="AB47" s="9">
        <f>MIN(G47,O47)</f>
        <v>3.3716994E-2</v>
      </c>
      <c r="AC47" s="9">
        <f t="shared" si="3"/>
        <v>2.0625727192643568</v>
      </c>
      <c r="AD47" s="9">
        <f t="shared" si="4"/>
        <v>14.996682652077464</v>
      </c>
      <c r="AE47" s="7" t="str">
        <f>IF(AND(M47="Failed", V47="Failed"), "Failed", "Passed")</f>
        <v>Passed</v>
      </c>
      <c r="AF47" s="14" t="s">
        <v>115</v>
      </c>
      <c r="AG47" s="14">
        <v>0.58642948100000003</v>
      </c>
      <c r="AH47" s="14" t="s">
        <v>10</v>
      </c>
      <c r="AI47">
        <v>4</v>
      </c>
      <c r="AJ47">
        <v>0</v>
      </c>
    </row>
    <row r="48" spans="1:37" x14ac:dyDescent="0.2">
      <c r="A48" t="s">
        <v>59</v>
      </c>
      <c r="B48">
        <v>1</v>
      </c>
      <c r="C48" s="14" t="s">
        <v>112</v>
      </c>
      <c r="D48" s="14">
        <v>0.56398983199999997</v>
      </c>
      <c r="E48" s="14" t="s">
        <v>10</v>
      </c>
      <c r="F48" s="1" t="s">
        <v>9</v>
      </c>
      <c r="G48" s="2">
        <v>5.7763149999999999E-2</v>
      </c>
      <c r="H48" s="2">
        <v>1.08257E-4</v>
      </c>
      <c r="I48" s="2">
        <v>6.4393999999999994E-5</v>
      </c>
      <c r="J48" s="2">
        <v>1.9732522999999998E-2</v>
      </c>
      <c r="K48" s="2">
        <v>3.0112401E-2</v>
      </c>
      <c r="L48" s="2">
        <f t="shared" si="0"/>
        <v>9.7638344169249773</v>
      </c>
      <c r="M48" s="1" t="s">
        <v>10</v>
      </c>
      <c r="N48" s="4" t="s">
        <v>12</v>
      </c>
      <c r="O48" s="5">
        <v>2.5617089999999999E-2</v>
      </c>
      <c r="P48" s="5">
        <v>7.8448999999999994E-5</v>
      </c>
      <c r="Q48" s="5">
        <v>6.1348999999999998E-5</v>
      </c>
      <c r="R48" s="5">
        <v>9.3754549999999996E-3</v>
      </c>
      <c r="S48" s="5">
        <v>7.3829129999999996E-3</v>
      </c>
      <c r="T48" s="5">
        <f t="shared" si="1"/>
        <v>2.2548677464926734</v>
      </c>
      <c r="U48" s="5">
        <f>$D48/O48</f>
        <v>22.016155308819229</v>
      </c>
      <c r="V48" s="4" t="s">
        <v>10</v>
      </c>
      <c r="W48" s="10" t="s">
        <v>109</v>
      </c>
      <c r="X48" s="10">
        <v>3.4341828999999997E-2</v>
      </c>
      <c r="Y48" s="10">
        <f t="shared" si="2"/>
        <v>16.422824538553261</v>
      </c>
      <c r="Z48" s="10" t="s">
        <v>10</v>
      </c>
      <c r="AA48" s="7" t="s">
        <v>106</v>
      </c>
      <c r="AB48" s="9">
        <f>MIN(G48,O48)</f>
        <v>2.5617089999999999E-2</v>
      </c>
      <c r="AC48" s="9">
        <f t="shared" si="3"/>
        <v>1.3405827515927844</v>
      </c>
      <c r="AD48" s="9">
        <f t="shared" si="4"/>
        <v>22.016155308819229</v>
      </c>
      <c r="AE48" s="7" t="str">
        <f>IF(AND(M48="Failed", V48="Failed"), "Failed", "Passed")</f>
        <v>Passed</v>
      </c>
      <c r="AF48" s="14" t="s">
        <v>115</v>
      </c>
      <c r="AG48" s="14">
        <v>0.57898248600000002</v>
      </c>
      <c r="AH48" s="14" t="s">
        <v>10</v>
      </c>
      <c r="AI48">
        <v>4</v>
      </c>
      <c r="AJ48">
        <v>10</v>
      </c>
    </row>
    <row r="49" spans="1:36" x14ac:dyDescent="0.2">
      <c r="A49" t="s">
        <v>60</v>
      </c>
      <c r="B49">
        <v>1</v>
      </c>
      <c r="C49" s="14" t="s">
        <v>112</v>
      </c>
      <c r="D49" s="14">
        <v>0.48386315499999999</v>
      </c>
      <c r="E49" s="14" t="s">
        <v>10</v>
      </c>
      <c r="F49" s="1" t="s">
        <v>9</v>
      </c>
      <c r="G49" s="2">
        <v>3.7542486999999999E-2</v>
      </c>
      <c r="H49" s="2">
        <v>3.1084000000000003E-5</v>
      </c>
      <c r="I49" s="2">
        <v>3.7107000000000002E-5</v>
      </c>
      <c r="J49" s="2">
        <v>1.1611477E-2</v>
      </c>
      <c r="K49" s="2">
        <v>2.0501261999999999E-2</v>
      </c>
      <c r="L49" s="2">
        <f t="shared" si="0"/>
        <v>12.888415064244413</v>
      </c>
      <c r="M49" s="1" t="s">
        <v>10</v>
      </c>
      <c r="N49" s="4" t="s">
        <v>12</v>
      </c>
      <c r="O49" s="5">
        <v>2.4792020000000001E-2</v>
      </c>
      <c r="P49" s="5">
        <v>3.8167000000000002E-5</v>
      </c>
      <c r="Q49" s="5">
        <v>1.3675300000000001E-4</v>
      </c>
      <c r="R49" s="5">
        <v>1.191974E-2</v>
      </c>
      <c r="S49" s="5">
        <v>3.5496299999999998E-3</v>
      </c>
      <c r="T49" s="5">
        <f t="shared" si="1"/>
        <v>1.5142972214446422</v>
      </c>
      <c r="U49" s="5">
        <f>$D49/O49</f>
        <v>19.51689112061058</v>
      </c>
      <c r="V49" s="4" t="s">
        <v>10</v>
      </c>
      <c r="W49" s="10" t="s">
        <v>109</v>
      </c>
      <c r="X49" s="10">
        <v>2.4070832E-2</v>
      </c>
      <c r="Y49" s="10">
        <f t="shared" si="2"/>
        <v>20.101638156919545</v>
      </c>
      <c r="Z49" s="10" t="s">
        <v>10</v>
      </c>
      <c r="AA49" s="7" t="s">
        <v>106</v>
      </c>
      <c r="AB49" s="9">
        <f>MIN(G49,O49)</f>
        <v>2.4792020000000001E-2</v>
      </c>
      <c r="AC49" s="9">
        <f t="shared" si="3"/>
        <v>0.97091047845234069</v>
      </c>
      <c r="AD49" s="9">
        <f t="shared" si="4"/>
        <v>19.51689112061058</v>
      </c>
      <c r="AE49" s="7" t="str">
        <f>IF(AND(M49="Failed", V49="Failed"), "Failed", "Passed")</f>
        <v>Passed</v>
      </c>
      <c r="AF49" s="14" t="s">
        <v>115</v>
      </c>
      <c r="AG49" s="14">
        <v>0.52952434100000001</v>
      </c>
      <c r="AH49" s="14" t="s">
        <v>10</v>
      </c>
      <c r="AI49">
        <v>4</v>
      </c>
      <c r="AJ49">
        <v>0</v>
      </c>
    </row>
    <row r="50" spans="1:36" x14ac:dyDescent="0.2">
      <c r="A50" t="s">
        <v>61</v>
      </c>
      <c r="B50">
        <v>1</v>
      </c>
      <c r="C50" s="14" t="s">
        <v>112</v>
      </c>
      <c r="D50" s="14">
        <v>0.524458435</v>
      </c>
      <c r="E50" s="14" t="s">
        <v>10</v>
      </c>
      <c r="F50" s="1" t="s">
        <v>9</v>
      </c>
      <c r="G50" s="2">
        <v>5.0676331999999998E-2</v>
      </c>
      <c r="H50" s="2">
        <v>6.1974E-5</v>
      </c>
      <c r="I50" s="2">
        <v>7.4777000000000006E-5</v>
      </c>
      <c r="J50" s="2">
        <v>1.6665453E-2</v>
      </c>
      <c r="K50" s="2">
        <v>2.5756538999999998E-2</v>
      </c>
      <c r="L50" s="2">
        <f t="shared" si="0"/>
        <v>10.349179080285449</v>
      </c>
      <c r="M50" s="1" t="s">
        <v>10</v>
      </c>
      <c r="N50" s="4" t="s">
        <v>12</v>
      </c>
      <c r="O50" s="5">
        <v>2.3480355000000001E-2</v>
      </c>
      <c r="P50" s="5">
        <v>5.9604000000000001E-5</v>
      </c>
      <c r="Q50" s="5">
        <v>5.5599000000000001E-5</v>
      </c>
      <c r="R50" s="5">
        <v>1.0084516E-2</v>
      </c>
      <c r="S50" s="5">
        <v>6.0620400000000003E-3</v>
      </c>
      <c r="T50" s="5">
        <f t="shared" si="1"/>
        <v>2.1582438596009301</v>
      </c>
      <c r="U50" s="5">
        <f>$D50/O50</f>
        <v>22.336052201936468</v>
      </c>
      <c r="V50" s="4" t="s">
        <v>10</v>
      </c>
      <c r="W50" s="10" t="s">
        <v>109</v>
      </c>
      <c r="X50" s="10">
        <v>5.5677325999999999E-2</v>
      </c>
      <c r="Y50" s="10">
        <f t="shared" si="2"/>
        <v>9.4196052985734262</v>
      </c>
      <c r="Z50" s="10" t="s">
        <v>10</v>
      </c>
      <c r="AA50" s="7" t="s">
        <v>106</v>
      </c>
      <c r="AB50" s="9">
        <f>MIN(G50,O50)</f>
        <v>2.3480355000000001E-2</v>
      </c>
      <c r="AC50" s="9">
        <f t="shared" si="3"/>
        <v>2.3712301624059773</v>
      </c>
      <c r="AD50" s="9">
        <f t="shared" si="4"/>
        <v>22.336052201936468</v>
      </c>
      <c r="AE50" s="7" t="str">
        <f>IF(AND(M50="Failed", V50="Failed"), "Failed", "Passed")</f>
        <v>Passed</v>
      </c>
      <c r="AF50" s="14" t="s">
        <v>115</v>
      </c>
      <c r="AG50" s="14">
        <v>0.56976766899999998</v>
      </c>
      <c r="AH50" s="14" t="s">
        <v>10</v>
      </c>
      <c r="AI50">
        <v>3</v>
      </c>
      <c r="AJ50">
        <v>0</v>
      </c>
    </row>
    <row r="51" spans="1:36" x14ac:dyDescent="0.2">
      <c r="A51" t="s">
        <v>62</v>
      </c>
      <c r="B51">
        <v>3</v>
      </c>
      <c r="C51" s="14" t="s">
        <v>112</v>
      </c>
      <c r="D51" s="14">
        <v>1.0907402310000001</v>
      </c>
      <c r="E51" s="14" t="s">
        <v>10</v>
      </c>
      <c r="F51" s="1" t="s">
        <v>9</v>
      </c>
      <c r="G51" s="2">
        <v>0.18028286900000001</v>
      </c>
      <c r="H51" s="2">
        <v>3.4999000000000002E-5</v>
      </c>
      <c r="I51" s="2">
        <v>4.5828999999999998E-5</v>
      </c>
      <c r="J51" s="2">
        <v>1.1977633999999999E-2</v>
      </c>
      <c r="K51" s="2">
        <v>2.0509052E-2</v>
      </c>
      <c r="L51" s="2">
        <f t="shared" si="0"/>
        <v>6.0501601569253927</v>
      </c>
      <c r="M51" s="1" t="s">
        <v>10</v>
      </c>
      <c r="N51" s="4" t="s">
        <v>12</v>
      </c>
      <c r="O51" s="5">
        <v>9.6283684999999994E-2</v>
      </c>
      <c r="P51" s="5">
        <v>3.7234000000000003E-5</v>
      </c>
      <c r="Q51" s="5">
        <v>7.3652999999999994E-5</v>
      </c>
      <c r="R51" s="5">
        <v>7.701299E-3</v>
      </c>
      <c r="S51" s="5">
        <v>3.046914E-3</v>
      </c>
      <c r="T51" s="5">
        <f t="shared" si="1"/>
        <v>1.8724134727498227</v>
      </c>
      <c r="U51" s="5">
        <f>$D51/O51</f>
        <v>11.328401390121288</v>
      </c>
      <c r="V51" s="4" t="s">
        <v>10</v>
      </c>
      <c r="W51" s="10" t="s">
        <v>109</v>
      </c>
      <c r="X51" s="10">
        <v>9.7944481E-2</v>
      </c>
      <c r="Y51" s="10">
        <f t="shared" si="2"/>
        <v>11.136311304768668</v>
      </c>
      <c r="Z51" s="10" t="s">
        <v>10</v>
      </c>
      <c r="AA51" s="7" t="s">
        <v>106</v>
      </c>
      <c r="AB51" s="9">
        <f>MIN(G51,O51)</f>
        <v>9.6283684999999994E-2</v>
      </c>
      <c r="AC51" s="9">
        <f t="shared" si="3"/>
        <v>1.0172489866793113</v>
      </c>
      <c r="AD51" s="9">
        <f t="shared" si="4"/>
        <v>11.328401390121288</v>
      </c>
      <c r="AE51" s="7" t="str">
        <f>IF(AND(M51="Failed", V51="Failed"), "Failed", "Passed")</f>
        <v>Passed</v>
      </c>
      <c r="AF51" s="14" t="s">
        <v>115</v>
      </c>
      <c r="AG51" s="14">
        <v>1.310279988</v>
      </c>
      <c r="AH51" s="14" t="s">
        <v>11</v>
      </c>
      <c r="AI51">
        <v>4</v>
      </c>
      <c r="AJ51">
        <v>3</v>
      </c>
    </row>
    <row r="52" spans="1:36" x14ac:dyDescent="0.2">
      <c r="A52" t="s">
        <v>63</v>
      </c>
      <c r="B52">
        <v>1</v>
      </c>
      <c r="C52" s="14" t="s">
        <v>112</v>
      </c>
      <c r="D52" s="14">
        <v>0.59487094299999999</v>
      </c>
      <c r="E52" s="14" t="s">
        <v>10</v>
      </c>
      <c r="F52" s="1" t="s">
        <v>9</v>
      </c>
      <c r="G52" s="2">
        <v>5.0417920999999997E-2</v>
      </c>
      <c r="H52" s="2">
        <v>1.1287500000000001E-4</v>
      </c>
      <c r="I52" s="2">
        <v>1.40977E-4</v>
      </c>
      <c r="J52" s="2">
        <v>1.6944221999999998E-2</v>
      </c>
      <c r="K52" s="2">
        <v>2.7508854999999999E-2</v>
      </c>
      <c r="L52" s="2">
        <f t="shared" si="0"/>
        <v>11.798799537965875</v>
      </c>
      <c r="M52" s="1" t="s">
        <v>10</v>
      </c>
      <c r="N52" s="4" t="s">
        <v>12</v>
      </c>
      <c r="O52" s="5">
        <v>2.6791655000000001E-2</v>
      </c>
      <c r="P52" s="5">
        <v>1.32211E-4</v>
      </c>
      <c r="Q52" s="5">
        <v>1.28808E-4</v>
      </c>
      <c r="R52" s="5">
        <v>1.0725790000000001E-2</v>
      </c>
      <c r="S52" s="5">
        <v>6.9960459999999997E-3</v>
      </c>
      <c r="T52" s="5">
        <f t="shared" si="1"/>
        <v>1.8818516810551642</v>
      </c>
      <c r="U52" s="5">
        <f>$D52/O52</f>
        <v>22.203590744953978</v>
      </c>
      <c r="V52" s="4" t="s">
        <v>10</v>
      </c>
      <c r="W52" s="10" t="s">
        <v>109</v>
      </c>
      <c r="X52" s="10">
        <v>6.3277078E-2</v>
      </c>
      <c r="Y52" s="10">
        <f t="shared" si="2"/>
        <v>9.4010495080066754</v>
      </c>
      <c r="Z52" s="10" t="s">
        <v>10</v>
      </c>
      <c r="AA52" s="7" t="s">
        <v>106</v>
      </c>
      <c r="AB52" s="9">
        <f>MIN(G52,O52)</f>
        <v>2.6791655000000001E-2</v>
      </c>
      <c r="AC52" s="9">
        <f t="shared" si="3"/>
        <v>2.3618204250539954</v>
      </c>
      <c r="AD52" s="9">
        <f t="shared" si="4"/>
        <v>22.203590744953978</v>
      </c>
      <c r="AE52" s="7" t="str">
        <f>IF(AND(M52="Failed", V52="Failed"), "Failed", "Passed")</f>
        <v>Passed</v>
      </c>
      <c r="AF52" s="14" t="s">
        <v>115</v>
      </c>
      <c r="AG52" s="14">
        <v>0.71016666500000003</v>
      </c>
      <c r="AH52" s="14" t="s">
        <v>10</v>
      </c>
      <c r="AI52">
        <v>4</v>
      </c>
      <c r="AJ52">
        <v>2</v>
      </c>
    </row>
    <row r="53" spans="1:36" x14ac:dyDescent="0.2">
      <c r="A53" t="s">
        <v>64</v>
      </c>
      <c r="B53">
        <v>1</v>
      </c>
      <c r="C53" s="14" t="s">
        <v>112</v>
      </c>
      <c r="D53" s="14">
        <v>0.66692489300000002</v>
      </c>
      <c r="E53" s="14" t="s">
        <v>10</v>
      </c>
      <c r="F53" s="1" t="s">
        <v>9</v>
      </c>
      <c r="G53" s="2">
        <v>0.104783506</v>
      </c>
      <c r="H53" s="2">
        <v>1.14333E-4</v>
      </c>
      <c r="I53" s="2">
        <v>1.9887279999999999E-3</v>
      </c>
      <c r="J53" s="2">
        <v>4.6702633E-2</v>
      </c>
      <c r="K53" s="2">
        <v>3.8745559999999998E-2</v>
      </c>
      <c r="L53" s="2">
        <f t="shared" si="0"/>
        <v>6.3647888724013493</v>
      </c>
      <c r="M53" s="1" t="s">
        <v>10</v>
      </c>
      <c r="N53" s="4" t="s">
        <v>12</v>
      </c>
      <c r="O53" s="5">
        <v>3.2820848E-2</v>
      </c>
      <c r="P53" s="5">
        <v>1.0684299999999999E-4</v>
      </c>
      <c r="Q53" s="5">
        <v>1.3706499999999999E-4</v>
      </c>
      <c r="R53" s="5">
        <v>1.2624826E-2</v>
      </c>
      <c r="S53" s="5">
        <v>7.8145630000000001E-3</v>
      </c>
      <c r="T53" s="5">
        <f t="shared" si="1"/>
        <v>3.192589844113717</v>
      </c>
      <c r="U53" s="5">
        <f>$D53/O53</f>
        <v>20.320160313956546</v>
      </c>
      <c r="V53" s="4" t="s">
        <v>10</v>
      </c>
      <c r="W53" s="10" t="s">
        <v>109</v>
      </c>
      <c r="X53" s="10">
        <v>8.7719980000000003E-2</v>
      </c>
      <c r="Y53" s="10">
        <f t="shared" si="2"/>
        <v>7.6028846905801846</v>
      </c>
      <c r="Z53" s="10" t="s">
        <v>10</v>
      </c>
      <c r="AA53" s="7" t="s">
        <v>106</v>
      </c>
      <c r="AB53" s="9">
        <f>MIN(G53,O53)</f>
        <v>3.2820848E-2</v>
      </c>
      <c r="AC53" s="9">
        <f t="shared" si="3"/>
        <v>2.6726908457697376</v>
      </c>
      <c r="AD53" s="9">
        <f t="shared" si="4"/>
        <v>20.320160313956546</v>
      </c>
      <c r="AE53" s="7" t="str">
        <f>IF(AND(M53="Failed", V53="Failed"), "Failed", "Passed")</f>
        <v>Passed</v>
      </c>
      <c r="AF53" s="14" t="s">
        <v>115</v>
      </c>
      <c r="AG53" s="14">
        <v>0.91701318399999998</v>
      </c>
      <c r="AH53" s="14" t="s">
        <v>10</v>
      </c>
      <c r="AI53">
        <v>4</v>
      </c>
      <c r="AJ53">
        <v>10</v>
      </c>
    </row>
    <row r="54" spans="1:36" x14ac:dyDescent="0.2">
      <c r="A54" t="s">
        <v>65</v>
      </c>
      <c r="B54">
        <v>2</v>
      </c>
      <c r="C54" s="14" t="s">
        <v>112</v>
      </c>
      <c r="D54" s="14">
        <v>0.52229174300000003</v>
      </c>
      <c r="E54" s="14" t="s">
        <v>10</v>
      </c>
      <c r="F54" s="1" t="s">
        <v>9</v>
      </c>
      <c r="G54" s="2">
        <v>0.10780192399999999</v>
      </c>
      <c r="H54" s="2">
        <v>1.559073E-3</v>
      </c>
      <c r="I54" s="2">
        <v>8.8911000000000003E-5</v>
      </c>
      <c r="J54" s="2">
        <v>1.7719693000000002E-2</v>
      </c>
      <c r="K54" s="2">
        <v>2.7661491E-2</v>
      </c>
      <c r="L54" s="2">
        <f t="shared" si="0"/>
        <v>4.844920420900837</v>
      </c>
      <c r="M54" s="1" t="s">
        <v>10</v>
      </c>
      <c r="N54" s="4" t="s">
        <v>12</v>
      </c>
      <c r="O54" s="5">
        <v>3.8189228999999998E-2</v>
      </c>
      <c r="P54" s="5">
        <v>6.2180700000000005E-4</v>
      </c>
      <c r="Q54" s="5">
        <v>1.5731499999999999E-4</v>
      </c>
      <c r="R54" s="5">
        <v>1.0116414000000001E-2</v>
      </c>
      <c r="S54" s="5">
        <v>3.2326949999999998E-3</v>
      </c>
      <c r="T54" s="5">
        <f t="shared" si="1"/>
        <v>2.8228358315377355</v>
      </c>
      <c r="U54" s="5">
        <f>$D54/O54</f>
        <v>13.676414965067769</v>
      </c>
      <c r="V54" s="4" t="s">
        <v>10</v>
      </c>
      <c r="W54" s="10" t="s">
        <v>109</v>
      </c>
      <c r="X54" s="10">
        <v>7.4290149999999999E-2</v>
      </c>
      <c r="Y54" s="10">
        <f t="shared" si="2"/>
        <v>7.0304305887119627</v>
      </c>
      <c r="Z54" s="10" t="s">
        <v>10</v>
      </c>
      <c r="AA54" s="7" t="s">
        <v>106</v>
      </c>
      <c r="AB54" s="9">
        <f>MIN(G54,O54)</f>
        <v>3.8189228999999998E-2</v>
      </c>
      <c r="AC54" s="9">
        <f t="shared" si="3"/>
        <v>1.9453168326598058</v>
      </c>
      <c r="AD54" s="9">
        <f t="shared" si="4"/>
        <v>13.676414965067769</v>
      </c>
      <c r="AE54" s="7" t="str">
        <f>IF(AND(M54="Failed", V54="Failed"), "Failed", "Passed")</f>
        <v>Passed</v>
      </c>
      <c r="AF54" s="14" t="s">
        <v>115</v>
      </c>
      <c r="AG54" s="14">
        <v>0.59771332399999999</v>
      </c>
      <c r="AH54" s="14" t="s">
        <v>10</v>
      </c>
      <c r="AI54">
        <v>7</v>
      </c>
      <c r="AJ54">
        <v>1</v>
      </c>
    </row>
    <row r="55" spans="1:36" x14ac:dyDescent="0.2">
      <c r="A55" t="s">
        <v>66</v>
      </c>
      <c r="B55">
        <v>1</v>
      </c>
      <c r="C55" s="14" t="s">
        <v>112</v>
      </c>
      <c r="D55" s="14">
        <v>0.60340691899999999</v>
      </c>
      <c r="E55" s="14" t="s">
        <v>10</v>
      </c>
      <c r="F55" s="1" t="s">
        <v>9</v>
      </c>
      <c r="G55" s="2">
        <v>7.7209472000000001E-2</v>
      </c>
      <c r="H55" s="2">
        <v>8.0086999999999994E-5</v>
      </c>
      <c r="I55" s="2">
        <v>7.5889000000000005E-5</v>
      </c>
      <c r="J55" s="2">
        <v>3.8701160999999998E-2</v>
      </c>
      <c r="K55" s="2">
        <v>3.1594707999999999E-2</v>
      </c>
      <c r="L55" s="2">
        <f t="shared" si="0"/>
        <v>7.8151929208892916</v>
      </c>
      <c r="M55" s="1" t="s">
        <v>10</v>
      </c>
      <c r="N55" s="4" t="s">
        <v>12</v>
      </c>
      <c r="O55" s="5">
        <v>3.3867465999999999E-2</v>
      </c>
      <c r="P55" s="5">
        <v>1.52664E-4</v>
      </c>
      <c r="Q55" s="5">
        <v>2.2865400000000001E-4</v>
      </c>
      <c r="R55" s="5">
        <v>1.3584413E-2</v>
      </c>
      <c r="S55" s="5">
        <v>7.8652630000000008E-3</v>
      </c>
      <c r="T55" s="5">
        <f t="shared" si="1"/>
        <v>2.279753436528142</v>
      </c>
      <c r="U55" s="5">
        <f>$D55/O55</f>
        <v>17.81671291852777</v>
      </c>
      <c r="V55" s="4" t="s">
        <v>10</v>
      </c>
      <c r="W55" s="10" t="s">
        <v>109</v>
      </c>
      <c r="X55" s="10">
        <v>2.717106E-2</v>
      </c>
      <c r="Y55" s="10">
        <f t="shared" si="2"/>
        <v>22.207706250694674</v>
      </c>
      <c r="Z55" s="10" t="s">
        <v>10</v>
      </c>
      <c r="AA55" s="7" t="s">
        <v>106</v>
      </c>
      <c r="AB55" s="9">
        <f>MIN(G55,O55)</f>
        <v>3.3867465999999999E-2</v>
      </c>
      <c r="AC55" s="9">
        <f t="shared" si="3"/>
        <v>0.80227614312803919</v>
      </c>
      <c r="AD55" s="9">
        <f t="shared" si="4"/>
        <v>17.81671291852777</v>
      </c>
      <c r="AE55" s="7" t="str">
        <f>IF(AND(M55="Failed", V55="Failed"), "Failed", "Passed")</f>
        <v>Passed</v>
      </c>
      <c r="AF55" s="14" t="s">
        <v>115</v>
      </c>
      <c r="AG55" s="14">
        <v>0.56692449700000003</v>
      </c>
      <c r="AH55" s="14" t="s">
        <v>10</v>
      </c>
      <c r="AI55">
        <v>6</v>
      </c>
      <c r="AJ55">
        <v>0</v>
      </c>
    </row>
    <row r="56" spans="1:36" x14ac:dyDescent="0.2">
      <c r="A56" t="s">
        <v>67</v>
      </c>
      <c r="B56">
        <v>1</v>
      </c>
      <c r="C56" s="14" t="s">
        <v>112</v>
      </c>
      <c r="D56" s="14">
        <v>0.96226842800000001</v>
      </c>
      <c r="E56" s="14" t="s">
        <v>10</v>
      </c>
      <c r="F56" s="1" t="s">
        <v>9</v>
      </c>
      <c r="G56" s="2">
        <v>0.210517068</v>
      </c>
      <c r="H56" s="2">
        <v>6.3963999999999999E-5</v>
      </c>
      <c r="I56" s="2">
        <v>1.2962800000000001E-4</v>
      </c>
      <c r="J56" s="2">
        <v>2.1651864999999999E-2</v>
      </c>
      <c r="K56" s="2">
        <v>0.18106086099999999</v>
      </c>
      <c r="L56" s="2">
        <f t="shared" si="0"/>
        <v>4.5709758222549439</v>
      </c>
      <c r="M56" s="1" t="s">
        <v>10</v>
      </c>
      <c r="N56" s="4" t="s">
        <v>12</v>
      </c>
      <c r="O56" s="5">
        <v>3.8473133999999999E-2</v>
      </c>
      <c r="P56" s="5">
        <v>4.7635E-5</v>
      </c>
      <c r="Q56" s="5">
        <v>1.2468399999999999E-4</v>
      </c>
      <c r="R56" s="5">
        <v>1.4071581999999999E-2</v>
      </c>
      <c r="S56" s="5">
        <v>1.5194101999999999E-2</v>
      </c>
      <c r="T56" s="5">
        <f t="shared" si="1"/>
        <v>5.4717941096246543</v>
      </c>
      <c r="U56" s="5">
        <f>$D56/O56</f>
        <v>25.011438579451312</v>
      </c>
      <c r="V56" s="4" t="s">
        <v>10</v>
      </c>
      <c r="W56" s="10" t="s">
        <v>109</v>
      </c>
      <c r="X56" s="10">
        <v>0.188990879</v>
      </c>
      <c r="Y56" s="10">
        <f t="shared" si="2"/>
        <v>5.0916130613901212</v>
      </c>
      <c r="Z56" s="10" t="s">
        <v>10</v>
      </c>
      <c r="AA56" s="7" t="s">
        <v>106</v>
      </c>
      <c r="AB56" s="9">
        <f>MIN(G56,O56)</f>
        <v>3.8473133999999999E-2</v>
      </c>
      <c r="AC56" s="9">
        <f t="shared" si="3"/>
        <v>4.9122818796098082</v>
      </c>
      <c r="AD56" s="9">
        <f t="shared" si="4"/>
        <v>25.011438579451312</v>
      </c>
      <c r="AE56" s="7" t="str">
        <f>IF(AND(M56="Failed", V56="Failed"), "Failed", "Passed")</f>
        <v>Passed</v>
      </c>
      <c r="AF56" s="14" t="s">
        <v>115</v>
      </c>
      <c r="AG56" s="14">
        <v>0.95487878299999995</v>
      </c>
      <c r="AH56" s="14" t="s">
        <v>10</v>
      </c>
      <c r="AI56">
        <v>11</v>
      </c>
      <c r="AJ56">
        <v>0</v>
      </c>
    </row>
    <row r="57" spans="1:36" x14ac:dyDescent="0.2">
      <c r="A57" t="s">
        <v>68</v>
      </c>
      <c r="B57">
        <v>1</v>
      </c>
      <c r="C57" s="14" t="s">
        <v>112</v>
      </c>
      <c r="D57" s="14">
        <v>1.4761356160000001</v>
      </c>
      <c r="E57" s="14" t="s">
        <v>10</v>
      </c>
      <c r="F57" s="1" t="s">
        <v>9</v>
      </c>
      <c r="G57" s="2">
        <v>6.9535806000000006E-2</v>
      </c>
      <c r="H57" s="2">
        <v>1.30724E-4</v>
      </c>
      <c r="I57" s="2">
        <v>8.4374000000000002E-5</v>
      </c>
      <c r="J57" s="2">
        <v>2.433913E-2</v>
      </c>
      <c r="K57" s="2">
        <v>3.8515841000000002E-2</v>
      </c>
      <c r="L57" s="2">
        <f t="shared" si="0"/>
        <v>21.22842461910918</v>
      </c>
      <c r="M57" s="1" t="s">
        <v>10</v>
      </c>
      <c r="N57" s="4" t="s">
        <v>12</v>
      </c>
      <c r="O57" s="5">
        <v>2.3914830000000002E-2</v>
      </c>
      <c r="P57" s="5">
        <v>9.8942000000000002E-5</v>
      </c>
      <c r="Q57" s="5">
        <v>1.4375400000000001E-4</v>
      </c>
      <c r="R57" s="5">
        <v>1.0289744999999999E-2</v>
      </c>
      <c r="S57" s="5">
        <v>4.086948E-3</v>
      </c>
      <c r="T57" s="5">
        <f t="shared" si="1"/>
        <v>2.9076437507605113</v>
      </c>
      <c r="U57" s="5">
        <f>$D57/O57</f>
        <v>61.724696182243406</v>
      </c>
      <c r="V57" s="4" t="s">
        <v>10</v>
      </c>
      <c r="W57" s="10" t="s">
        <v>109</v>
      </c>
      <c r="X57" s="10">
        <v>1.8583786000000001E-2</v>
      </c>
      <c r="Y57" s="10">
        <f t="shared" si="2"/>
        <v>79.431371842099338</v>
      </c>
      <c r="Z57" s="10" t="s">
        <v>10</v>
      </c>
      <c r="AA57" s="7" t="s">
        <v>106</v>
      </c>
      <c r="AB57" s="9">
        <f>MIN(G57,O57)</f>
        <v>2.3914830000000002E-2</v>
      </c>
      <c r="AC57" s="9">
        <f t="shared" si="3"/>
        <v>0.77708208672192114</v>
      </c>
      <c r="AD57" s="9">
        <f t="shared" si="4"/>
        <v>61.724696182243406</v>
      </c>
      <c r="AE57" s="7" t="str">
        <f>IF(AND(M57="Failed", V57="Failed"), "Failed", "Passed")</f>
        <v>Passed</v>
      </c>
      <c r="AF57" s="14" t="s">
        <v>115</v>
      </c>
      <c r="AG57" s="14">
        <v>0.58745432200000003</v>
      </c>
      <c r="AH57" s="14" t="s">
        <v>10</v>
      </c>
      <c r="AI57">
        <v>8</v>
      </c>
      <c r="AJ57">
        <v>0</v>
      </c>
    </row>
    <row r="58" spans="1:36" x14ac:dyDescent="0.2">
      <c r="A58" t="s">
        <v>69</v>
      </c>
      <c r="B58">
        <v>1</v>
      </c>
      <c r="C58" s="14" t="s">
        <v>112</v>
      </c>
      <c r="D58" s="14">
        <v>0.94051254500000003</v>
      </c>
      <c r="E58" s="14" t="s">
        <v>10</v>
      </c>
      <c r="F58" s="1" t="s">
        <v>9</v>
      </c>
      <c r="G58" s="2">
        <v>7.0525565999999998E-2</v>
      </c>
      <c r="H58" s="2">
        <v>4.69433E-4</v>
      </c>
      <c r="I58" s="2">
        <v>2.5910799999999997E-4</v>
      </c>
      <c r="J58" s="2">
        <v>2.161507E-2</v>
      </c>
      <c r="K58" s="2">
        <v>3.8003487000000002E-2</v>
      </c>
      <c r="L58" s="2">
        <f t="shared" si="0"/>
        <v>13.335767415181044</v>
      </c>
      <c r="M58" s="1" t="s">
        <v>10</v>
      </c>
      <c r="N58" s="4" t="s">
        <v>12</v>
      </c>
      <c r="O58" s="5">
        <v>2.6574536999999999E-2</v>
      </c>
      <c r="P58" s="5">
        <v>5.9425000000000001E-5</v>
      </c>
      <c r="Q58" s="5">
        <v>8.6243999999999996E-5</v>
      </c>
      <c r="R58" s="5">
        <v>1.1374683999999999E-2</v>
      </c>
      <c r="S58" s="5">
        <v>7.8227950000000004E-3</v>
      </c>
      <c r="T58" s="5">
        <f t="shared" si="1"/>
        <v>2.6538775068781066</v>
      </c>
      <c r="U58" s="5">
        <f>$D58/O58</f>
        <v>35.391493180106963</v>
      </c>
      <c r="V58" s="4" t="s">
        <v>10</v>
      </c>
      <c r="W58" s="10" t="s">
        <v>109</v>
      </c>
      <c r="X58" s="10">
        <v>8.6323380000000005E-2</v>
      </c>
      <c r="Y58" s="10">
        <f t="shared" si="2"/>
        <v>10.895223808428261</v>
      </c>
      <c r="Z58" s="10" t="s">
        <v>10</v>
      </c>
      <c r="AA58" s="7" t="s">
        <v>106</v>
      </c>
      <c r="AB58" s="9">
        <f>MIN(G58,O58)</f>
        <v>2.6574536999999999E-2</v>
      </c>
      <c r="AC58" s="9">
        <f t="shared" si="3"/>
        <v>3.2483493503574499</v>
      </c>
      <c r="AD58" s="9">
        <f t="shared" si="4"/>
        <v>35.391493180106963</v>
      </c>
      <c r="AE58" s="7" t="str">
        <f>IF(AND(M58="Failed", V58="Failed"), "Failed", "Passed")</f>
        <v>Passed</v>
      </c>
      <c r="AF58" s="14" t="s">
        <v>115</v>
      </c>
      <c r="AG58" s="14">
        <v>0.69132872300000003</v>
      </c>
      <c r="AH58" s="14" t="s">
        <v>10</v>
      </c>
      <c r="AI58">
        <v>6</v>
      </c>
      <c r="AJ58">
        <v>0</v>
      </c>
    </row>
    <row r="59" spans="1:36" x14ac:dyDescent="0.2">
      <c r="A59" t="s">
        <v>70</v>
      </c>
      <c r="B59">
        <v>1</v>
      </c>
      <c r="C59" s="14" t="s">
        <v>112</v>
      </c>
      <c r="D59" s="14">
        <v>0.73531893400000004</v>
      </c>
      <c r="E59" s="14" t="s">
        <v>10</v>
      </c>
      <c r="F59" s="1" t="s">
        <v>9</v>
      </c>
      <c r="G59" s="2">
        <v>6.1614795999999999E-2</v>
      </c>
      <c r="H59" s="2">
        <v>5.7927999999999998E-5</v>
      </c>
      <c r="I59" s="2">
        <v>1.12354E-4</v>
      </c>
      <c r="J59" s="2">
        <v>1.5466758000000001E-2</v>
      </c>
      <c r="K59" s="2">
        <v>3.7647674999999999E-2</v>
      </c>
      <c r="L59" s="2">
        <f t="shared" si="0"/>
        <v>11.934129165987988</v>
      </c>
      <c r="M59" s="1" t="s">
        <v>10</v>
      </c>
      <c r="N59" s="4" t="s">
        <v>12</v>
      </c>
      <c r="O59" s="5">
        <v>2.960022E-2</v>
      </c>
      <c r="P59" s="5">
        <v>5.0686000000000002E-5</v>
      </c>
      <c r="Q59" s="5">
        <v>6.7092000000000001E-5</v>
      </c>
      <c r="R59" s="5">
        <v>1.0439632000000001E-2</v>
      </c>
      <c r="S59" s="5">
        <v>1.0881617999999999E-2</v>
      </c>
      <c r="T59" s="5">
        <f t="shared" si="1"/>
        <v>2.0815654748512005</v>
      </c>
      <c r="U59" s="5">
        <f>$D59/O59</f>
        <v>24.841671244335348</v>
      </c>
      <c r="V59" s="4" t="s">
        <v>10</v>
      </c>
      <c r="W59" s="10" t="s">
        <v>109</v>
      </c>
      <c r="X59" s="10">
        <v>8.6811371999999998E-2</v>
      </c>
      <c r="Y59" s="10">
        <f t="shared" si="2"/>
        <v>8.4703065630618077</v>
      </c>
      <c r="Z59" s="10" t="s">
        <v>10</v>
      </c>
      <c r="AA59" s="7" t="s">
        <v>106</v>
      </c>
      <c r="AB59" s="9">
        <f>MIN(G59,O59)</f>
        <v>2.960022E-2</v>
      </c>
      <c r="AC59" s="9">
        <f t="shared" si="3"/>
        <v>2.9327948238222552</v>
      </c>
      <c r="AD59" s="9">
        <f t="shared" si="4"/>
        <v>24.841671244335348</v>
      </c>
      <c r="AE59" s="7" t="str">
        <f>IF(AND(M59="Failed", V59="Failed"), "Failed", "Passed")</f>
        <v>Passed</v>
      </c>
      <c r="AF59" s="14" t="s">
        <v>115</v>
      </c>
      <c r="AG59" s="14">
        <v>0.613892463</v>
      </c>
      <c r="AH59" s="14" t="s">
        <v>10</v>
      </c>
      <c r="AI59">
        <v>9</v>
      </c>
      <c r="AJ59">
        <v>0</v>
      </c>
    </row>
    <row r="60" spans="1:36" x14ac:dyDescent="0.2">
      <c r="A60" t="s">
        <v>71</v>
      </c>
      <c r="B60">
        <v>1</v>
      </c>
      <c r="C60" s="14" t="s">
        <v>112</v>
      </c>
      <c r="D60" s="14">
        <v>0.56782137700000002</v>
      </c>
      <c r="E60" s="14" t="s">
        <v>10</v>
      </c>
      <c r="F60" s="1" t="s">
        <v>9</v>
      </c>
      <c r="G60" s="2">
        <v>5.5155468999999999E-2</v>
      </c>
      <c r="H60" s="2">
        <v>6.3687000000000002E-5</v>
      </c>
      <c r="I60" s="2">
        <v>5.2537000000000002E-5</v>
      </c>
      <c r="J60" s="2">
        <v>1.5959297000000001E-2</v>
      </c>
      <c r="K60" s="2">
        <v>3.0541473999999999E-2</v>
      </c>
      <c r="L60" s="2">
        <f t="shared" si="0"/>
        <v>10.294924280310264</v>
      </c>
      <c r="M60" s="1" t="s">
        <v>10</v>
      </c>
      <c r="N60" s="4" t="s">
        <v>12</v>
      </c>
      <c r="O60" s="5">
        <v>2.5016947000000001E-2</v>
      </c>
      <c r="P60" s="5">
        <v>8.4534000000000001E-5</v>
      </c>
      <c r="Q60" s="5">
        <v>4.3476000000000002E-5</v>
      </c>
      <c r="R60" s="5">
        <v>1.1105685000000001E-2</v>
      </c>
      <c r="S60" s="5">
        <v>4.2568950000000001E-3</v>
      </c>
      <c r="T60" s="5">
        <f t="shared" si="1"/>
        <v>2.2047242215446992</v>
      </c>
      <c r="U60" s="5">
        <f>$D60/O60</f>
        <v>22.697468919768667</v>
      </c>
      <c r="V60" s="4" t="s">
        <v>10</v>
      </c>
      <c r="W60" s="10" t="s">
        <v>109</v>
      </c>
      <c r="X60" s="10">
        <v>2.5777905E-2</v>
      </c>
      <c r="Y60" s="10">
        <f t="shared" si="2"/>
        <v>22.027444705068159</v>
      </c>
      <c r="Z60" s="10" t="s">
        <v>10</v>
      </c>
      <c r="AA60" s="7" t="s">
        <v>106</v>
      </c>
      <c r="AB60" s="9">
        <f>MIN(G60,O60)</f>
        <v>2.5016947000000001E-2</v>
      </c>
      <c r="AC60" s="9">
        <f t="shared" si="3"/>
        <v>1.0304177004492194</v>
      </c>
      <c r="AD60" s="9">
        <f t="shared" si="4"/>
        <v>22.697468919768667</v>
      </c>
      <c r="AE60" s="7" t="str">
        <f>IF(AND(M60="Failed", V60="Failed"), "Failed", "Passed")</f>
        <v>Passed</v>
      </c>
      <c r="AF60" s="14" t="s">
        <v>115</v>
      </c>
      <c r="AG60" s="14">
        <v>0.52817468499999998</v>
      </c>
      <c r="AH60" s="14" t="s">
        <v>10</v>
      </c>
      <c r="AI60">
        <v>6</v>
      </c>
      <c r="AJ60">
        <v>0</v>
      </c>
    </row>
    <row r="61" spans="1:36" x14ac:dyDescent="0.2">
      <c r="A61" t="s">
        <v>72</v>
      </c>
      <c r="B61">
        <v>1</v>
      </c>
      <c r="C61" s="14" t="s">
        <v>112</v>
      </c>
      <c r="D61" s="14">
        <v>1.366640761</v>
      </c>
      <c r="E61" s="14" t="s">
        <v>10</v>
      </c>
      <c r="F61" s="1" t="s">
        <v>9</v>
      </c>
      <c r="G61" s="2">
        <v>0.15287603299999999</v>
      </c>
      <c r="H61" s="2">
        <v>7.3596299999999996E-4</v>
      </c>
      <c r="I61" s="2">
        <v>8.2353979999999997E-3</v>
      </c>
      <c r="J61" s="2">
        <v>8.9009035E-2</v>
      </c>
      <c r="K61" s="2">
        <v>4.3221819000000002E-2</v>
      </c>
      <c r="L61" s="2">
        <f t="shared" si="0"/>
        <v>8.9395357413545664</v>
      </c>
      <c r="M61" s="1" t="s">
        <v>10</v>
      </c>
      <c r="N61" s="4" t="s">
        <v>12</v>
      </c>
      <c r="O61" s="5">
        <v>0.116324213</v>
      </c>
      <c r="P61" s="5">
        <v>9.50241E-4</v>
      </c>
      <c r="Q61" s="5">
        <v>8.0172360000000005E-3</v>
      </c>
      <c r="R61" s="5">
        <v>8.8686766E-2</v>
      </c>
      <c r="S61" s="5">
        <v>1.0590779E-2</v>
      </c>
      <c r="T61" s="5">
        <f t="shared" si="1"/>
        <v>1.3142236603827271</v>
      </c>
      <c r="U61" s="5">
        <f>$D61/O61</f>
        <v>11.748549384125212</v>
      </c>
      <c r="V61" s="4" t="s">
        <v>10</v>
      </c>
      <c r="W61" s="10" t="s">
        <v>109</v>
      </c>
      <c r="X61" s="10">
        <v>0.20399351900000001</v>
      </c>
      <c r="Y61" s="10">
        <f t="shared" si="2"/>
        <v>6.6994322550021792</v>
      </c>
      <c r="Z61" s="10" t="s">
        <v>10</v>
      </c>
      <c r="AA61" s="7" t="s">
        <v>106</v>
      </c>
      <c r="AB61" s="9">
        <f>MIN(G61,O61)</f>
        <v>0.116324213</v>
      </c>
      <c r="AC61" s="9">
        <f t="shared" si="3"/>
        <v>1.7536634354878466</v>
      </c>
      <c r="AD61" s="9">
        <f t="shared" si="4"/>
        <v>11.748549384125212</v>
      </c>
      <c r="AE61" s="7" t="str">
        <f>IF(AND(M61="Failed", V61="Failed"), "Failed", "Passed")</f>
        <v>Passed</v>
      </c>
      <c r="AF61" s="14" t="s">
        <v>115</v>
      </c>
      <c r="AG61" s="14">
        <v>1.071368189</v>
      </c>
      <c r="AH61" s="14" t="s">
        <v>10</v>
      </c>
      <c r="AI61">
        <v>22</v>
      </c>
      <c r="AJ61">
        <v>0</v>
      </c>
    </row>
    <row r="62" spans="1:36" x14ac:dyDescent="0.2">
      <c r="A62" t="s">
        <v>73</v>
      </c>
      <c r="B62">
        <v>1</v>
      </c>
      <c r="C62" s="14" t="s">
        <v>112</v>
      </c>
      <c r="D62" s="14">
        <v>0.79369816299999996</v>
      </c>
      <c r="E62" s="14" t="s">
        <v>10</v>
      </c>
      <c r="F62" s="1" t="s">
        <v>9</v>
      </c>
      <c r="G62" s="2">
        <v>0.14909102399999999</v>
      </c>
      <c r="H62" s="2">
        <v>9.7379699999999999E-4</v>
      </c>
      <c r="I62" s="2">
        <v>9.2672640000000008E-3</v>
      </c>
      <c r="J62" s="2">
        <v>8.9194480000000007E-2</v>
      </c>
      <c r="K62" s="2">
        <v>3.7767671000000003E-2</v>
      </c>
      <c r="L62" s="2">
        <f t="shared" si="0"/>
        <v>5.3235811365813683</v>
      </c>
      <c r="M62" s="1" t="s">
        <v>10</v>
      </c>
      <c r="N62" s="4" t="s">
        <v>12</v>
      </c>
      <c r="O62" s="5">
        <v>7.1384789000000004E-2</v>
      </c>
      <c r="P62" s="5">
        <v>7.9501500000000004E-4</v>
      </c>
      <c r="Q62" s="5">
        <v>5.6165520000000003E-3</v>
      </c>
      <c r="R62" s="5">
        <v>5.0926665000000003E-2</v>
      </c>
      <c r="S62" s="5">
        <v>5.0024930000000002E-3</v>
      </c>
      <c r="T62" s="5">
        <f t="shared" si="1"/>
        <v>2.0885545238496115</v>
      </c>
      <c r="U62" s="5">
        <f>$D62/O62</f>
        <v>11.118589465887473</v>
      </c>
      <c r="V62" s="4" t="s">
        <v>10</v>
      </c>
      <c r="W62" s="10" t="s">
        <v>109</v>
      </c>
      <c r="X62" s="10">
        <v>6.5546679999999996E-2</v>
      </c>
      <c r="Y62" s="10">
        <f t="shared" si="2"/>
        <v>12.108899535415066</v>
      </c>
      <c r="Z62" s="10" t="s">
        <v>10</v>
      </c>
      <c r="AA62" s="7" t="s">
        <v>106</v>
      </c>
      <c r="AB62" s="9">
        <f>MIN(G62,O62)</f>
        <v>7.1384789000000004E-2</v>
      </c>
      <c r="AC62" s="9">
        <f t="shared" si="3"/>
        <v>0.91821634438115374</v>
      </c>
      <c r="AD62" s="9">
        <f t="shared" si="4"/>
        <v>11.118589465887473</v>
      </c>
      <c r="AE62" s="7" t="str">
        <f>IF(AND(M62="Failed", V62="Failed"), "Failed", "Passed")</f>
        <v>Passed</v>
      </c>
      <c r="AF62" s="14" t="s">
        <v>115</v>
      </c>
      <c r="AG62" s="14">
        <v>0.76471085599999999</v>
      </c>
      <c r="AH62" s="14" t="s">
        <v>10</v>
      </c>
      <c r="AI62">
        <v>22</v>
      </c>
      <c r="AJ62">
        <v>0</v>
      </c>
    </row>
    <row r="63" spans="1:36" x14ac:dyDescent="0.2">
      <c r="A63" t="s">
        <v>74</v>
      </c>
      <c r="B63">
        <v>1</v>
      </c>
      <c r="C63" s="14" t="s">
        <v>112</v>
      </c>
      <c r="D63" s="14">
        <v>0.59125989199999995</v>
      </c>
      <c r="E63" s="14" t="s">
        <v>10</v>
      </c>
      <c r="F63" s="1" t="s">
        <v>9</v>
      </c>
      <c r="G63" s="2">
        <v>5.8398738999999998E-2</v>
      </c>
      <c r="H63" s="2">
        <v>5.7098000000000001E-5</v>
      </c>
      <c r="I63" s="2">
        <v>8.2939E-5</v>
      </c>
      <c r="J63" s="2">
        <v>1.7735972999999999E-2</v>
      </c>
      <c r="K63" s="2">
        <v>3.2029941999999999E-2</v>
      </c>
      <c r="L63" s="2">
        <f t="shared" si="0"/>
        <v>10.124531832784951</v>
      </c>
      <c r="M63" s="1" t="s">
        <v>10</v>
      </c>
      <c r="N63" s="4" t="s">
        <v>12</v>
      </c>
      <c r="O63" s="5">
        <v>2.5865514999999999E-2</v>
      </c>
      <c r="P63" s="5">
        <v>6.4912000000000005E-5</v>
      </c>
      <c r="Q63" s="5">
        <v>9.1818999999999996E-5</v>
      </c>
      <c r="R63" s="5">
        <v>9.0298640000000003E-3</v>
      </c>
      <c r="S63" s="5">
        <v>4.5823130000000002E-3</v>
      </c>
      <c r="T63" s="5">
        <f t="shared" si="1"/>
        <v>2.2577837325102554</v>
      </c>
      <c r="U63" s="5">
        <f>$D63/O63</f>
        <v>22.859003271344104</v>
      </c>
      <c r="V63" s="4" t="s">
        <v>10</v>
      </c>
      <c r="W63" s="10" t="s">
        <v>109</v>
      </c>
      <c r="X63" s="10">
        <v>2.5386065999999999E-2</v>
      </c>
      <c r="Y63" s="10">
        <f t="shared" si="2"/>
        <v>23.290725392425909</v>
      </c>
      <c r="Z63" s="10" t="s">
        <v>10</v>
      </c>
      <c r="AA63" s="7" t="s">
        <v>106</v>
      </c>
      <c r="AB63" s="9">
        <f>MIN(G63,O63)</f>
        <v>2.5865514999999999E-2</v>
      </c>
      <c r="AC63" s="9">
        <f t="shared" si="3"/>
        <v>0.98146377522349737</v>
      </c>
      <c r="AD63" s="9">
        <f t="shared" si="4"/>
        <v>22.859003271344104</v>
      </c>
      <c r="AE63" s="7" t="str">
        <f>IF(AND(M63="Failed", V63="Failed"), "Failed", "Passed")</f>
        <v>Passed</v>
      </c>
      <c r="AF63" s="14" t="s">
        <v>115</v>
      </c>
      <c r="AG63" s="14">
        <v>0.60769793800000005</v>
      </c>
      <c r="AH63" s="14" t="s">
        <v>10</v>
      </c>
      <c r="AI63">
        <v>10</v>
      </c>
      <c r="AJ63">
        <v>0</v>
      </c>
    </row>
    <row r="64" spans="1:36" x14ac:dyDescent="0.2">
      <c r="A64" t="s">
        <v>75</v>
      </c>
      <c r="B64">
        <v>1</v>
      </c>
      <c r="C64" s="14" t="s">
        <v>112</v>
      </c>
      <c r="D64" s="14">
        <v>0.66684183900000005</v>
      </c>
      <c r="E64" s="14" t="s">
        <v>10</v>
      </c>
      <c r="F64" s="1" t="s">
        <v>9</v>
      </c>
      <c r="G64" s="2">
        <v>0.271694143</v>
      </c>
      <c r="H64" s="2">
        <v>5.6159000000000002E-5</v>
      </c>
      <c r="I64" s="2">
        <v>1.5493000000000001E-4</v>
      </c>
      <c r="J64" s="2">
        <v>2.7285182000000002E-2</v>
      </c>
      <c r="K64" s="2">
        <v>0.23390256600000001</v>
      </c>
      <c r="L64" s="2">
        <f t="shared" si="0"/>
        <v>2.4543843000693615</v>
      </c>
      <c r="M64" s="1" t="s">
        <v>10</v>
      </c>
      <c r="N64" s="4" t="s">
        <v>12</v>
      </c>
      <c r="O64" s="5">
        <v>6.3697930999999999E-2</v>
      </c>
      <c r="P64" s="5">
        <v>1.29493E-4</v>
      </c>
      <c r="Q64" s="5">
        <v>1.2292299999999999E-4</v>
      </c>
      <c r="R64" s="5">
        <v>2.3167612000000001E-2</v>
      </c>
      <c r="S64" s="5">
        <v>2.3760422999999999E-2</v>
      </c>
      <c r="T64" s="5">
        <f t="shared" si="1"/>
        <v>4.2653527160874347</v>
      </c>
      <c r="U64" s="5">
        <f>$D64/O64</f>
        <v>10.468814740623209</v>
      </c>
      <c r="V64" s="4" t="s">
        <v>10</v>
      </c>
      <c r="W64" s="10" t="s">
        <v>109</v>
      </c>
      <c r="X64" s="10">
        <v>3.4664800000000003E-2</v>
      </c>
      <c r="Y64" s="10">
        <f t="shared" si="2"/>
        <v>19.236858109667445</v>
      </c>
      <c r="Z64" s="10" t="s">
        <v>10</v>
      </c>
      <c r="AA64" s="7" t="s">
        <v>106</v>
      </c>
      <c r="AB64" s="9">
        <f>MIN(G64,O64)</f>
        <v>6.3697930999999999E-2</v>
      </c>
      <c r="AC64" s="9">
        <f t="shared" si="3"/>
        <v>0.54420605906336272</v>
      </c>
      <c r="AD64" s="9">
        <f t="shared" si="4"/>
        <v>10.468814740623209</v>
      </c>
      <c r="AE64" s="7" t="str">
        <f>IF(AND(M64="Failed", V64="Failed"), "Failed", "Passed")</f>
        <v>Passed</v>
      </c>
      <c r="AF64" s="14" t="s">
        <v>115</v>
      </c>
      <c r="AG64" s="14">
        <v>0.62381770999999997</v>
      </c>
      <c r="AH64" s="14" t="s">
        <v>10</v>
      </c>
      <c r="AI64">
        <v>11</v>
      </c>
      <c r="AJ64">
        <v>0</v>
      </c>
    </row>
    <row r="65" spans="1:37" x14ac:dyDescent="0.2">
      <c r="A65" t="s">
        <v>76</v>
      </c>
      <c r="B65">
        <v>1</v>
      </c>
      <c r="C65" s="14" t="s">
        <v>112</v>
      </c>
      <c r="D65" s="14">
        <v>0.77558872700000003</v>
      </c>
      <c r="E65" s="14" t="s">
        <v>10</v>
      </c>
      <c r="F65" s="1" t="s">
        <v>9</v>
      </c>
      <c r="G65" s="2">
        <v>5.8437088999999998E-2</v>
      </c>
      <c r="H65" s="2">
        <v>2.1798E-5</v>
      </c>
      <c r="I65" s="2">
        <v>3.6488E-5</v>
      </c>
      <c r="J65" s="2">
        <v>1.1714128000000001E-2</v>
      </c>
      <c r="K65" s="2">
        <v>4.1279446999999997E-2</v>
      </c>
      <c r="L65" s="2">
        <f t="shared" si="0"/>
        <v>13.27219990372895</v>
      </c>
      <c r="M65" s="1" t="s">
        <v>10</v>
      </c>
      <c r="N65" s="4" t="s">
        <v>12</v>
      </c>
      <c r="O65" s="5">
        <v>3.6788923000000001E-2</v>
      </c>
      <c r="P65" s="5">
        <v>4.7253999999999999E-5</v>
      </c>
      <c r="Q65" s="5">
        <v>1.0631199999999999E-4</v>
      </c>
      <c r="R65" s="5">
        <v>9.3160269999999993E-3</v>
      </c>
      <c r="S65" s="5">
        <v>1.1204881E-2</v>
      </c>
      <c r="T65" s="5">
        <f t="shared" si="1"/>
        <v>1.5884425048267925</v>
      </c>
      <c r="U65" s="5">
        <f>$D65/O65</f>
        <v>21.082126459641128</v>
      </c>
      <c r="V65" s="4" t="s">
        <v>10</v>
      </c>
      <c r="W65" s="10" t="s">
        <v>109</v>
      </c>
      <c r="X65" s="10">
        <v>7.6986076000000001E-2</v>
      </c>
      <c r="Y65" s="10">
        <f t="shared" si="2"/>
        <v>10.074402636133838</v>
      </c>
      <c r="Z65" s="10" t="s">
        <v>10</v>
      </c>
      <c r="AA65" s="7" t="s">
        <v>106</v>
      </c>
      <c r="AB65" s="9">
        <f>MIN(G65,O65)</f>
        <v>3.6788923000000001E-2</v>
      </c>
      <c r="AC65" s="9">
        <f t="shared" si="3"/>
        <v>2.0926428316479937</v>
      </c>
      <c r="AD65" s="9">
        <f t="shared" si="4"/>
        <v>21.082126459641128</v>
      </c>
      <c r="AE65" s="7" t="str">
        <f>IF(AND(M65="Failed", V65="Failed"), "Failed", "Passed")</f>
        <v>Passed</v>
      </c>
      <c r="AF65" s="14" t="s">
        <v>115</v>
      </c>
      <c r="AG65" s="14">
        <v>0.67963655999999995</v>
      </c>
      <c r="AH65" s="14" t="s">
        <v>10</v>
      </c>
      <c r="AI65">
        <v>8</v>
      </c>
      <c r="AJ65">
        <v>0</v>
      </c>
    </row>
    <row r="66" spans="1:37" x14ac:dyDescent="0.2">
      <c r="A66" t="s">
        <v>77</v>
      </c>
      <c r="B66">
        <v>1</v>
      </c>
      <c r="C66" s="14" t="s">
        <v>112</v>
      </c>
      <c r="D66" s="14">
        <v>0.58346355500000002</v>
      </c>
      <c r="E66" s="14" t="s">
        <v>10</v>
      </c>
      <c r="F66" s="1" t="s">
        <v>9</v>
      </c>
      <c r="G66" s="2">
        <v>3.9518424000000003E-2</v>
      </c>
      <c r="H66" s="2">
        <v>6.0857999999999999E-5</v>
      </c>
      <c r="I66" s="2">
        <v>3.8371999999999998E-5</v>
      </c>
      <c r="J66" s="2">
        <v>1.2133885000000001E-2</v>
      </c>
      <c r="K66" s="2">
        <v>2.1984671000000001E-2</v>
      </c>
      <c r="L66" s="2">
        <f t="shared" si="0"/>
        <v>14.764342702532874</v>
      </c>
      <c r="M66" s="1" t="s">
        <v>10</v>
      </c>
      <c r="N66" s="4" t="s">
        <v>12</v>
      </c>
      <c r="O66" s="5">
        <v>2.6852081999999999E-2</v>
      </c>
      <c r="P66" s="5">
        <v>1.29727E-4</v>
      </c>
      <c r="Q66" s="5">
        <v>5.6221000000000003E-5</v>
      </c>
      <c r="R66" s="5">
        <v>9.6654870000000004E-3</v>
      </c>
      <c r="S66" s="5">
        <v>7.593224E-3</v>
      </c>
      <c r="T66" s="5">
        <f t="shared" si="1"/>
        <v>1.4717080038709849</v>
      </c>
      <c r="U66" s="5">
        <f>$D66/O66</f>
        <v>21.728801327211798</v>
      </c>
      <c r="V66" s="4" t="s">
        <v>10</v>
      </c>
      <c r="W66" s="10" t="s">
        <v>109</v>
      </c>
      <c r="X66" s="10">
        <v>5.8181306000000002E-2</v>
      </c>
      <c r="Y66" s="10">
        <f t="shared" si="2"/>
        <v>10.028368132540717</v>
      </c>
      <c r="Z66" s="10" t="s">
        <v>10</v>
      </c>
      <c r="AA66" s="7" t="s">
        <v>106</v>
      </c>
      <c r="AB66" s="9">
        <f>MIN(G66,O66)</f>
        <v>2.6852081999999999E-2</v>
      </c>
      <c r="AC66" s="9">
        <f t="shared" si="3"/>
        <v>2.1667335143695747</v>
      </c>
      <c r="AD66" s="9">
        <f t="shared" si="4"/>
        <v>21.728801327211798</v>
      </c>
      <c r="AE66" s="7" t="str">
        <f>IF(AND(M66="Failed", V66="Failed"), "Failed", "Passed")</f>
        <v>Passed</v>
      </c>
      <c r="AF66" s="14" t="s">
        <v>115</v>
      </c>
      <c r="AG66" s="14">
        <v>0.57196390600000002</v>
      </c>
      <c r="AH66" s="14" t="s">
        <v>10</v>
      </c>
      <c r="AI66">
        <v>5</v>
      </c>
      <c r="AJ66">
        <v>0</v>
      </c>
    </row>
    <row r="67" spans="1:37" x14ac:dyDescent="0.2">
      <c r="A67" t="s">
        <v>78</v>
      </c>
      <c r="B67">
        <v>1</v>
      </c>
      <c r="C67" s="14" t="s">
        <v>112</v>
      </c>
      <c r="D67" s="14">
        <v>0.66057038899999998</v>
      </c>
      <c r="E67" s="14" t="s">
        <v>10</v>
      </c>
      <c r="F67" s="1" t="s">
        <v>9</v>
      </c>
      <c r="G67" s="2">
        <v>9.5700572999999997E-2</v>
      </c>
      <c r="H67" s="2">
        <v>1.7005000000000001E-4</v>
      </c>
      <c r="I67" s="2">
        <v>2.8946100000000003E-4</v>
      </c>
      <c r="J67" s="2">
        <v>2.7071351E-2</v>
      </c>
      <c r="K67" s="2">
        <v>5.9870776000000001E-2</v>
      </c>
      <c r="L67" s="2">
        <f t="shared" ref="L67:L93" si="5">$D67/G67</f>
        <v>6.9024705735042984</v>
      </c>
      <c r="M67" s="1" t="s">
        <v>10</v>
      </c>
      <c r="N67" s="4" t="s">
        <v>12</v>
      </c>
      <c r="O67" s="5">
        <v>2.5984394000000001E-2</v>
      </c>
      <c r="P67" s="5">
        <v>1.8063500000000001E-4</v>
      </c>
      <c r="Q67" s="5">
        <v>4.5000599999999997E-4</v>
      </c>
      <c r="R67" s="5">
        <v>9.2113030000000005E-3</v>
      </c>
      <c r="S67" s="5">
        <v>8.1067129999999998E-3</v>
      </c>
      <c r="T67" s="5">
        <f t="shared" ref="T67:T95" si="6">G67/O67</f>
        <v>3.6830019203064728</v>
      </c>
      <c r="U67" s="5">
        <f>$D67/O67</f>
        <v>25.421812377075252</v>
      </c>
      <c r="V67" s="4" t="s">
        <v>11</v>
      </c>
      <c r="W67" s="10" t="s">
        <v>109</v>
      </c>
      <c r="X67" s="10">
        <v>0.10081575600000001</v>
      </c>
      <c r="Y67" s="10">
        <f t="shared" ref="Y67:Y93" si="7">$D67/X67</f>
        <v>6.5522534890280442</v>
      </c>
      <c r="Z67" s="10" t="s">
        <v>10</v>
      </c>
      <c r="AA67" s="7" t="s">
        <v>106</v>
      </c>
      <c r="AB67" s="9">
        <f>MIN(G67,O67)</f>
        <v>2.5984394000000001E-2</v>
      </c>
      <c r="AC67" s="9">
        <f t="shared" ref="AC67:AC95" si="8">X67/AB67</f>
        <v>3.8798578870071014</v>
      </c>
      <c r="AD67" s="9">
        <f t="shared" ref="AC67:AD93" si="9">$D67/AB67</f>
        <v>25.421812377075252</v>
      </c>
      <c r="AE67" s="7" t="str">
        <f>IF(AND(M67="Failed", V67="Failed"), "Failed", "Passed")</f>
        <v>Passed</v>
      </c>
      <c r="AF67" s="14" t="s">
        <v>115</v>
      </c>
      <c r="AG67" s="14">
        <v>0.66547420400000001</v>
      </c>
      <c r="AH67" s="14" t="s">
        <v>10</v>
      </c>
      <c r="AI67">
        <v>2</v>
      </c>
      <c r="AJ67">
        <v>2</v>
      </c>
    </row>
    <row r="68" spans="1:37" x14ac:dyDescent="0.2">
      <c r="A68" t="s">
        <v>79</v>
      </c>
      <c r="B68">
        <v>1</v>
      </c>
      <c r="C68" s="14" t="s">
        <v>112</v>
      </c>
      <c r="D68" s="14">
        <v>0.97170853000000001</v>
      </c>
      <c r="E68" s="14" t="s">
        <v>10</v>
      </c>
      <c r="F68" s="1" t="s">
        <v>9</v>
      </c>
      <c r="G68" s="2">
        <v>0.120180593</v>
      </c>
      <c r="H68" s="2">
        <v>6.6587999999999993E-5</v>
      </c>
      <c r="I68" s="2">
        <v>2.1305E-4</v>
      </c>
      <c r="J68" s="2">
        <v>4.8016285999999998E-2</v>
      </c>
      <c r="K68" s="2">
        <v>6.5275782000000004E-2</v>
      </c>
      <c r="L68" s="2">
        <f t="shared" si="5"/>
        <v>8.0854030234315779</v>
      </c>
      <c r="M68" s="1" t="s">
        <v>10</v>
      </c>
      <c r="N68" s="4" t="s">
        <v>12</v>
      </c>
      <c r="O68" s="5">
        <v>8.2326305000000002E-2</v>
      </c>
      <c r="P68" s="5">
        <v>1.3281600000000001E-4</v>
      </c>
      <c r="Q68" s="5">
        <v>5.5130399999999997E-4</v>
      </c>
      <c r="R68" s="5">
        <v>1.5417040999999999E-2</v>
      </c>
      <c r="S68" s="5">
        <v>5.5412911000000002E-2</v>
      </c>
      <c r="T68" s="5">
        <f t="shared" si="6"/>
        <v>1.4598079313774619</v>
      </c>
      <c r="U68" s="5">
        <f>$D68/O68</f>
        <v>11.803135461988729</v>
      </c>
      <c r="V68" s="4" t="s">
        <v>11</v>
      </c>
      <c r="W68" s="10" t="s">
        <v>109</v>
      </c>
      <c r="X68" s="10">
        <v>0.14523974100000001</v>
      </c>
      <c r="Y68" s="10">
        <f t="shared" si="7"/>
        <v>6.6903763619352636</v>
      </c>
      <c r="Z68" s="10" t="s">
        <v>10</v>
      </c>
      <c r="AA68" s="7" t="s">
        <v>106</v>
      </c>
      <c r="AB68" s="9">
        <f>MIN(G68,O68)</f>
        <v>8.2326305000000002E-2</v>
      </c>
      <c r="AC68" s="9">
        <f t="shared" si="8"/>
        <v>1.7641960367345528</v>
      </c>
      <c r="AD68" s="9">
        <f t="shared" si="9"/>
        <v>11.803135461988729</v>
      </c>
      <c r="AE68" s="7" t="str">
        <f>IF(AND(M68="Failed", V68="Failed"), "Failed", "Passed")</f>
        <v>Passed</v>
      </c>
      <c r="AF68" s="14" t="s">
        <v>115</v>
      </c>
      <c r="AG68" s="14">
        <v>0.92191248699999995</v>
      </c>
      <c r="AH68" s="14" t="s">
        <v>10</v>
      </c>
      <c r="AI68">
        <v>16</v>
      </c>
      <c r="AJ68">
        <v>1</v>
      </c>
    </row>
    <row r="69" spans="1:37" x14ac:dyDescent="0.2">
      <c r="A69" t="s">
        <v>80</v>
      </c>
      <c r="B69">
        <v>1</v>
      </c>
      <c r="C69" s="14" t="s">
        <v>112</v>
      </c>
      <c r="D69" s="14">
        <v>7.8287215200000002</v>
      </c>
      <c r="E69" s="14" t="s">
        <v>10</v>
      </c>
      <c r="F69" s="1" t="s">
        <v>9</v>
      </c>
      <c r="G69" s="2">
        <v>8.3244664999999995E-2</v>
      </c>
      <c r="H69" s="2">
        <v>2.2923999999999999E-5</v>
      </c>
      <c r="I69" s="2">
        <v>1.05892E-4</v>
      </c>
      <c r="J69" s="2">
        <v>2.8372254E-2</v>
      </c>
      <c r="K69" s="2">
        <v>4.4388748999999998E-2</v>
      </c>
      <c r="L69" s="2">
        <f t="shared" si="5"/>
        <v>94.044723706918646</v>
      </c>
      <c r="M69" s="1" t="s">
        <v>10</v>
      </c>
      <c r="N69" s="4" t="s">
        <v>12</v>
      </c>
      <c r="O69" s="5">
        <v>5.5332721000000001E-2</v>
      </c>
      <c r="P69" s="5">
        <v>6.5566000000000002E-5</v>
      </c>
      <c r="Q69" s="5">
        <v>1.1930900000000001E-4</v>
      </c>
      <c r="R69" s="5">
        <v>1.1121208E-2</v>
      </c>
      <c r="S69" s="5">
        <v>3.3022329000000003E-2</v>
      </c>
      <c r="T69" s="5">
        <f t="shared" si="6"/>
        <v>1.5044383051395573</v>
      </c>
      <c r="U69" s="5">
        <f>$D69/O69</f>
        <v>141.48448474095463</v>
      </c>
      <c r="V69" s="4" t="s">
        <v>10</v>
      </c>
      <c r="W69" s="10" t="s">
        <v>109</v>
      </c>
      <c r="X69" s="10">
        <v>6.1209461E-2</v>
      </c>
      <c r="Y69" s="10">
        <f t="shared" si="7"/>
        <v>127.90051394179081</v>
      </c>
      <c r="Z69" s="10" t="s">
        <v>10</v>
      </c>
      <c r="AA69" s="7" t="s">
        <v>106</v>
      </c>
      <c r="AB69" s="9">
        <f>MIN(G69,O69)</f>
        <v>5.5332721000000001E-2</v>
      </c>
      <c r="AC69" s="9">
        <f t="shared" si="8"/>
        <v>1.1062073198966664</v>
      </c>
      <c r="AD69" s="9">
        <f t="shared" si="9"/>
        <v>141.48448474095463</v>
      </c>
      <c r="AE69" s="7" t="str">
        <f>IF(AND(M69="Failed", V69="Failed"), "Failed", "Passed")</f>
        <v>Passed</v>
      </c>
      <c r="AF69" s="14" t="s">
        <v>115</v>
      </c>
      <c r="AG69" s="14">
        <v>7.3024447410000004</v>
      </c>
      <c r="AH69" s="14" t="s">
        <v>10</v>
      </c>
      <c r="AI69">
        <v>28</v>
      </c>
      <c r="AJ69">
        <v>0</v>
      </c>
    </row>
    <row r="70" spans="1:37" x14ac:dyDescent="0.2">
      <c r="A70" t="s">
        <v>81</v>
      </c>
      <c r="B70">
        <v>1</v>
      </c>
      <c r="C70" s="14" t="s">
        <v>112</v>
      </c>
      <c r="D70" s="14">
        <v>0.53119691000000002</v>
      </c>
      <c r="E70" s="14" t="s">
        <v>10</v>
      </c>
      <c r="F70" s="1" t="s">
        <v>9</v>
      </c>
      <c r="G70" s="2">
        <v>5.0628914999999997E-2</v>
      </c>
      <c r="H70" s="2">
        <v>1.8831999999999999E-5</v>
      </c>
      <c r="I70" s="2">
        <v>4.5933000000000002E-5</v>
      </c>
      <c r="J70" s="2">
        <v>1.4943974E-2</v>
      </c>
      <c r="K70" s="2">
        <v>2.4965909000000001E-2</v>
      </c>
      <c r="L70" s="2">
        <f t="shared" si="5"/>
        <v>10.491967090347483</v>
      </c>
      <c r="M70" s="1" t="s">
        <v>10</v>
      </c>
      <c r="N70" s="4" t="s">
        <v>12</v>
      </c>
      <c r="O70" s="5">
        <v>2.3813306999999999E-2</v>
      </c>
      <c r="P70" s="5">
        <v>1.7547999999999999E-5</v>
      </c>
      <c r="Q70" s="5">
        <v>6.3156000000000003E-5</v>
      </c>
      <c r="R70" s="5">
        <v>1.1223962000000001E-2</v>
      </c>
      <c r="S70" s="5">
        <v>3.9377630000000004E-3</v>
      </c>
      <c r="T70" s="5">
        <f t="shared" si="6"/>
        <v>2.1260766091832606</v>
      </c>
      <c r="U70" s="5">
        <f>$D70/O70</f>
        <v>22.306725815108337</v>
      </c>
      <c r="V70" s="4" t="s">
        <v>10</v>
      </c>
      <c r="W70" s="10" t="s">
        <v>109</v>
      </c>
      <c r="X70" s="10">
        <v>2.5924497000000001E-2</v>
      </c>
      <c r="Y70" s="10">
        <f t="shared" si="7"/>
        <v>20.490153000847037</v>
      </c>
      <c r="Z70" s="10" t="s">
        <v>10</v>
      </c>
      <c r="AA70" s="7" t="s">
        <v>106</v>
      </c>
      <c r="AB70" s="9">
        <f>MIN(G70,O70)</f>
        <v>2.3813306999999999E-2</v>
      </c>
      <c r="AC70" s="9">
        <f t="shared" si="8"/>
        <v>1.0886558931105201</v>
      </c>
      <c r="AD70" s="9">
        <f t="shared" si="9"/>
        <v>22.306725815108337</v>
      </c>
      <c r="AE70" s="7" t="str">
        <f>IF(AND(M70="Failed", V70="Failed"), "Failed", "Passed")</f>
        <v>Passed</v>
      </c>
      <c r="AF70" s="14" t="s">
        <v>115</v>
      </c>
      <c r="AG70" s="14">
        <v>0.54923527699999997</v>
      </c>
      <c r="AH70" s="14" t="s">
        <v>10</v>
      </c>
      <c r="AI70">
        <v>3</v>
      </c>
      <c r="AJ70">
        <v>0</v>
      </c>
    </row>
    <row r="71" spans="1:37" x14ac:dyDescent="0.2">
      <c r="A71" t="s">
        <v>82</v>
      </c>
      <c r="B71">
        <v>1</v>
      </c>
      <c r="C71" s="14" t="s">
        <v>112</v>
      </c>
      <c r="D71" s="14">
        <v>0.54518755500000005</v>
      </c>
      <c r="E71" s="14" t="s">
        <v>10</v>
      </c>
      <c r="F71" s="1" t="s">
        <v>9</v>
      </c>
      <c r="G71" s="2">
        <v>9.1206490000000001E-2</v>
      </c>
      <c r="H71" s="2">
        <v>1.2239600000000001E-4</v>
      </c>
      <c r="I71" s="2">
        <v>8.3463999999999999E-5</v>
      </c>
      <c r="J71" s="2">
        <v>3.2741006000000003E-2</v>
      </c>
      <c r="K71" s="2">
        <v>4.1065009999999999E-2</v>
      </c>
      <c r="L71" s="2">
        <f t="shared" si="5"/>
        <v>5.9775083439785925</v>
      </c>
      <c r="M71" s="1" t="s">
        <v>11</v>
      </c>
      <c r="N71" s="4" t="s">
        <v>12</v>
      </c>
      <c r="O71" s="5">
        <v>2.9286362E-2</v>
      </c>
      <c r="P71" s="5">
        <v>1.9669500000000001E-4</v>
      </c>
      <c r="Q71" s="5">
        <v>1.04724E-4</v>
      </c>
      <c r="R71" s="5">
        <v>1.1571335E-2</v>
      </c>
      <c r="S71" s="5">
        <v>8.2851729999999998E-3</v>
      </c>
      <c r="T71" s="5">
        <f t="shared" si="6"/>
        <v>3.1142990720390604</v>
      </c>
      <c r="U71" s="5">
        <f>$D71/O71</f>
        <v>18.61574868875827</v>
      </c>
      <c r="V71" s="4" t="s">
        <v>11</v>
      </c>
      <c r="W71" s="10" t="s">
        <v>109</v>
      </c>
      <c r="X71" s="10">
        <v>6.0901836000000001E-2</v>
      </c>
      <c r="Y71" s="10">
        <f t="shared" si="7"/>
        <v>8.9519067208417162</v>
      </c>
      <c r="Z71" s="10" t="s">
        <v>11</v>
      </c>
      <c r="AA71" s="7" t="s">
        <v>106</v>
      </c>
      <c r="AB71" s="9">
        <f>MIN(G71,O71)</f>
        <v>2.9286362E-2</v>
      </c>
      <c r="AC71" s="9">
        <f t="shared" si="8"/>
        <v>2.0795288947121531</v>
      </c>
      <c r="AD71" s="9">
        <f t="shared" si="9"/>
        <v>18.61574868875827</v>
      </c>
      <c r="AE71" s="7" t="str">
        <f>IF(AND(M71="Failed", V71="Failed"), "Failed", "Passed")</f>
        <v>Failed</v>
      </c>
      <c r="AF71" s="14" t="s">
        <v>115</v>
      </c>
      <c r="AG71" s="14">
        <v>0.59728071299999996</v>
      </c>
      <c r="AH71" s="14" t="s">
        <v>10</v>
      </c>
      <c r="AI71">
        <v>3</v>
      </c>
      <c r="AJ71">
        <v>1</v>
      </c>
      <c r="AK71" t="s">
        <v>117</v>
      </c>
    </row>
    <row r="72" spans="1:37" x14ac:dyDescent="0.2">
      <c r="A72" t="s">
        <v>83</v>
      </c>
      <c r="B72">
        <v>1</v>
      </c>
      <c r="C72" s="14" t="s">
        <v>112</v>
      </c>
      <c r="D72" s="14">
        <v>0.47950593400000002</v>
      </c>
      <c r="E72" s="14" t="s">
        <v>10</v>
      </c>
      <c r="F72" s="1" t="s">
        <v>9</v>
      </c>
      <c r="G72" s="2">
        <v>4.2395464000000001E-2</v>
      </c>
      <c r="H72" s="2">
        <v>3.4604000000000003E-5</v>
      </c>
      <c r="I72" s="2">
        <v>4.0577000000000001E-5</v>
      </c>
      <c r="J72" s="2">
        <v>1.3381729E-2</v>
      </c>
      <c r="K72" s="2">
        <v>2.3374379000000001E-2</v>
      </c>
      <c r="L72" s="2">
        <f t="shared" si="5"/>
        <v>11.310312206985163</v>
      </c>
      <c r="M72" s="1" t="s">
        <v>10</v>
      </c>
      <c r="N72" s="4" t="s">
        <v>12</v>
      </c>
      <c r="O72" s="5">
        <v>3.3305506999999998E-2</v>
      </c>
      <c r="P72" s="5">
        <v>6.6965999999999995E-5</v>
      </c>
      <c r="Q72" s="5">
        <v>8.3009000000000004E-5</v>
      </c>
      <c r="R72" s="5">
        <v>1.4259361999999999E-2</v>
      </c>
      <c r="S72" s="5">
        <v>9.1194980000000002E-3</v>
      </c>
      <c r="T72" s="5">
        <f t="shared" si="6"/>
        <v>1.2729265463516291</v>
      </c>
      <c r="U72" s="5">
        <f>$D72/O72</f>
        <v>14.397196655796293</v>
      </c>
      <c r="V72" s="4" t="s">
        <v>10</v>
      </c>
      <c r="W72" s="10" t="s">
        <v>109</v>
      </c>
      <c r="X72" s="10">
        <v>3.1287728000000001E-2</v>
      </c>
      <c r="Y72" s="10">
        <f t="shared" si="7"/>
        <v>15.325687247089338</v>
      </c>
      <c r="Z72" s="10" t="s">
        <v>10</v>
      </c>
      <c r="AA72" s="7" t="s">
        <v>106</v>
      </c>
      <c r="AB72" s="9">
        <f>MIN(G72,O72)</f>
        <v>3.3305506999999998E-2</v>
      </c>
      <c r="AC72" s="9">
        <f t="shared" si="8"/>
        <v>0.93941605512866089</v>
      </c>
      <c r="AD72" s="9">
        <f t="shared" si="9"/>
        <v>14.397196655796293</v>
      </c>
      <c r="AE72" s="7" t="str">
        <f>IF(AND(M72="Failed", V72="Failed"), "Failed", "Passed")</f>
        <v>Passed</v>
      </c>
      <c r="AF72" s="14" t="s">
        <v>115</v>
      </c>
      <c r="AG72" s="14">
        <v>0.52000309600000005</v>
      </c>
      <c r="AH72" s="14" t="s">
        <v>10</v>
      </c>
      <c r="AI72">
        <v>2</v>
      </c>
      <c r="AJ72">
        <v>0</v>
      </c>
    </row>
    <row r="73" spans="1:37" x14ac:dyDescent="0.2">
      <c r="A73" t="s">
        <v>84</v>
      </c>
      <c r="B73">
        <v>1</v>
      </c>
      <c r="C73" s="14" t="s">
        <v>112</v>
      </c>
      <c r="D73" s="14">
        <v>0.46728458</v>
      </c>
      <c r="E73" s="14" t="s">
        <v>10</v>
      </c>
      <c r="F73" s="1" t="s">
        <v>9</v>
      </c>
      <c r="G73" s="2">
        <v>4.2904013999999997E-2</v>
      </c>
      <c r="H73" s="2">
        <v>1.9826999999999998E-5</v>
      </c>
      <c r="I73" s="2">
        <v>2.6356999999999999E-5</v>
      </c>
      <c r="J73" s="2">
        <v>1.5260055999999999E-2</v>
      </c>
      <c r="K73" s="2">
        <v>1.8512031000000002E-2</v>
      </c>
      <c r="L73" s="2">
        <f t="shared" si="5"/>
        <v>10.891395383191886</v>
      </c>
      <c r="M73" s="1" t="s">
        <v>10</v>
      </c>
      <c r="N73" s="4" t="s">
        <v>12</v>
      </c>
      <c r="O73" s="5">
        <v>1.8779321000000002E-2</v>
      </c>
      <c r="P73" s="5">
        <v>1.8970999999999998E-5</v>
      </c>
      <c r="Q73" s="5">
        <v>7.0176E-5</v>
      </c>
      <c r="R73" s="5">
        <v>9.1027999999999994E-3</v>
      </c>
      <c r="S73" s="5">
        <v>3.9762920000000002E-3</v>
      </c>
      <c r="T73" s="5">
        <f t="shared" si="6"/>
        <v>2.2846413882589256</v>
      </c>
      <c r="U73" s="5">
        <f>$D73/O73</f>
        <v>24.882932668332362</v>
      </c>
      <c r="V73" s="4" t="s">
        <v>10</v>
      </c>
      <c r="W73" s="10" t="s">
        <v>109</v>
      </c>
      <c r="X73" s="10">
        <v>2.9096811E-2</v>
      </c>
      <c r="Y73" s="10">
        <f t="shared" si="7"/>
        <v>16.059649285964706</v>
      </c>
      <c r="Z73" s="10" t="s">
        <v>10</v>
      </c>
      <c r="AA73" s="7" t="s">
        <v>106</v>
      </c>
      <c r="AB73" s="9">
        <f>MIN(G73,O73)</f>
        <v>1.8779321000000002E-2</v>
      </c>
      <c r="AC73" s="9">
        <f t="shared" si="8"/>
        <v>1.5494069780265216</v>
      </c>
      <c r="AD73" s="9">
        <f t="shared" si="9"/>
        <v>24.882932668332362</v>
      </c>
      <c r="AE73" s="7" t="str">
        <f>IF(AND(M73="Failed", V73="Failed"), "Failed", "Passed")</f>
        <v>Passed</v>
      </c>
      <c r="AF73" s="14" t="s">
        <v>115</v>
      </c>
      <c r="AG73" s="14">
        <v>0.51513541100000004</v>
      </c>
      <c r="AH73" s="14" t="s">
        <v>10</v>
      </c>
      <c r="AI73">
        <v>3</v>
      </c>
      <c r="AJ73">
        <v>0</v>
      </c>
    </row>
    <row r="74" spans="1:37" x14ac:dyDescent="0.2">
      <c r="A74" t="s">
        <v>85</v>
      </c>
      <c r="B74">
        <v>1</v>
      </c>
      <c r="C74" s="14" t="s">
        <v>112</v>
      </c>
      <c r="D74" s="14">
        <v>0.54471312199999999</v>
      </c>
      <c r="E74" s="14" t="s">
        <v>10</v>
      </c>
      <c r="F74" s="1" t="s">
        <v>9</v>
      </c>
      <c r="G74" s="2">
        <v>5.6807189000000001E-2</v>
      </c>
      <c r="H74" s="2">
        <v>1.01474E-4</v>
      </c>
      <c r="I74" s="2">
        <v>8.1227E-5</v>
      </c>
      <c r="J74" s="2">
        <v>2.1511846000000001E-2</v>
      </c>
      <c r="K74" s="2">
        <v>2.5584305000000002E-2</v>
      </c>
      <c r="L74" s="2">
        <f t="shared" si="5"/>
        <v>9.5888061280412931</v>
      </c>
      <c r="M74" s="1" t="s">
        <v>10</v>
      </c>
      <c r="N74" s="4" t="s">
        <v>12</v>
      </c>
      <c r="O74" s="5">
        <v>3.4903720999999999E-2</v>
      </c>
      <c r="P74" s="5">
        <v>9.6485999999999997E-5</v>
      </c>
      <c r="Q74" s="5">
        <v>1.3209800000000001E-4</v>
      </c>
      <c r="R74" s="5">
        <v>1.2952941000000001E-2</v>
      </c>
      <c r="S74" s="5">
        <v>1.0547190999999999E-2</v>
      </c>
      <c r="T74" s="5">
        <f t="shared" si="6"/>
        <v>1.6275396253597145</v>
      </c>
      <c r="U74" s="5">
        <f>$D74/O74</f>
        <v>15.606161933279264</v>
      </c>
      <c r="V74" s="4" t="s">
        <v>10</v>
      </c>
      <c r="W74" s="10" t="s">
        <v>109</v>
      </c>
      <c r="X74" s="10">
        <v>3.0484290000000001E-2</v>
      </c>
      <c r="Y74" s="10">
        <f t="shared" si="7"/>
        <v>17.868650442572221</v>
      </c>
      <c r="Z74" s="10" t="s">
        <v>10</v>
      </c>
      <c r="AA74" s="7" t="s">
        <v>106</v>
      </c>
      <c r="AB74" s="9">
        <f>MIN(G74,O74)</f>
        <v>3.4903720999999999E-2</v>
      </c>
      <c r="AC74" s="9">
        <f t="shared" si="8"/>
        <v>0.87338223910281665</v>
      </c>
      <c r="AD74" s="9">
        <f t="shared" si="9"/>
        <v>15.606161933279264</v>
      </c>
      <c r="AE74" s="7" t="str">
        <f>IF(AND(M74="Failed", V74="Failed"), "Failed", "Passed")</f>
        <v>Passed</v>
      </c>
      <c r="AF74" s="14" t="s">
        <v>115</v>
      </c>
      <c r="AG74" s="14">
        <v>0.56025304300000001</v>
      </c>
      <c r="AH74" s="14" t="s">
        <v>10</v>
      </c>
      <c r="AI74">
        <v>3</v>
      </c>
      <c r="AJ74">
        <v>1</v>
      </c>
    </row>
    <row r="75" spans="1:37" x14ac:dyDescent="0.2">
      <c r="A75" t="s">
        <v>86</v>
      </c>
      <c r="B75">
        <v>3</v>
      </c>
      <c r="C75" s="14" t="s">
        <v>112</v>
      </c>
      <c r="D75" s="14">
        <v>1.4206210889999999</v>
      </c>
      <c r="E75" s="14" t="s">
        <v>10</v>
      </c>
      <c r="F75" s="1" t="s">
        <v>9</v>
      </c>
      <c r="G75" s="2">
        <v>0.24598937900000001</v>
      </c>
      <c r="H75" s="2">
        <v>3.5713999999999997E-5</v>
      </c>
      <c r="I75" s="2">
        <v>2.7986599999999998E-4</v>
      </c>
      <c r="J75" s="2">
        <v>1.6218071000000001E-2</v>
      </c>
      <c r="K75" s="2">
        <v>3.4284668999999997E-2</v>
      </c>
      <c r="L75" s="2">
        <f t="shared" si="5"/>
        <v>5.7751318157520934</v>
      </c>
      <c r="M75" s="1" t="s">
        <v>10</v>
      </c>
      <c r="N75" s="4" t="s">
        <v>12</v>
      </c>
      <c r="O75" s="5">
        <v>9.7836192000000002E-2</v>
      </c>
      <c r="P75" s="5">
        <v>4.3538999999999998E-5</v>
      </c>
      <c r="Q75" s="5">
        <v>1.4011199999999999E-4</v>
      </c>
      <c r="R75" s="5">
        <v>1.1547524E-2</v>
      </c>
      <c r="S75" s="5">
        <v>5.0143469999999997E-3</v>
      </c>
      <c r="T75" s="5">
        <f t="shared" si="6"/>
        <v>2.5142983794790377</v>
      </c>
      <c r="U75" s="5">
        <f>$D75/O75</f>
        <v>14.520404565623322</v>
      </c>
      <c r="V75" s="4" t="s">
        <v>10</v>
      </c>
      <c r="W75" s="10" t="s">
        <v>109</v>
      </c>
      <c r="X75" s="10">
        <v>0.12828789500000001</v>
      </c>
      <c r="Y75" s="10">
        <f t="shared" si="7"/>
        <v>11.073695526768132</v>
      </c>
      <c r="Z75" s="10" t="s">
        <v>10</v>
      </c>
      <c r="AA75" s="7" t="s">
        <v>106</v>
      </c>
      <c r="AB75" s="9">
        <f>MIN(G75,O75)</f>
        <v>9.7836192000000002E-2</v>
      </c>
      <c r="AC75" s="9">
        <f t="shared" si="8"/>
        <v>1.3112519240323663</v>
      </c>
      <c r="AD75" s="9">
        <f t="shared" si="9"/>
        <v>14.520404565623322</v>
      </c>
      <c r="AE75" s="7" t="str">
        <f>IF(AND(M75="Failed", V75="Failed"), "Failed", "Passed")</f>
        <v>Passed</v>
      </c>
      <c r="AF75" s="14" t="s">
        <v>115</v>
      </c>
      <c r="AG75" s="14">
        <v>1.479686737</v>
      </c>
      <c r="AH75" s="14" t="s">
        <v>11</v>
      </c>
      <c r="AI75">
        <v>5</v>
      </c>
      <c r="AJ75">
        <v>10</v>
      </c>
    </row>
    <row r="76" spans="1:37" x14ac:dyDescent="0.2">
      <c r="A76" t="s">
        <v>87</v>
      </c>
      <c r="B76">
        <v>6</v>
      </c>
      <c r="C76" s="14" t="s">
        <v>112</v>
      </c>
      <c r="D76" s="14">
        <v>3.6354792649999998</v>
      </c>
      <c r="E76" s="14" t="s">
        <v>10</v>
      </c>
      <c r="F76" s="1" t="s">
        <v>9</v>
      </c>
      <c r="G76" s="2">
        <v>0.40804399899999999</v>
      </c>
      <c r="H76" s="2">
        <v>7.5427999999999997E-5</v>
      </c>
      <c r="I76" s="2">
        <v>1.2919900000000001E-4</v>
      </c>
      <c r="J76" s="2">
        <v>1.698121E-2</v>
      </c>
      <c r="K76" s="2">
        <v>2.9755785999999999E-2</v>
      </c>
      <c r="L76" s="2">
        <f t="shared" si="5"/>
        <v>8.9095275850386901</v>
      </c>
      <c r="M76" s="1" t="s">
        <v>11</v>
      </c>
      <c r="N76" s="4" t="s">
        <v>12</v>
      </c>
      <c r="O76" s="5">
        <v>0.18351387399999999</v>
      </c>
      <c r="P76" s="5">
        <v>4.634E-5</v>
      </c>
      <c r="Q76" s="5">
        <v>1.65814E-4</v>
      </c>
      <c r="R76" s="5">
        <v>1.3643071E-2</v>
      </c>
      <c r="S76" s="5">
        <v>6.9580520000000002E-3</v>
      </c>
      <c r="T76" s="5">
        <f t="shared" si="6"/>
        <v>2.2235049051386708</v>
      </c>
      <c r="U76" s="5">
        <f>$D76/O76</f>
        <v>19.810378287801825</v>
      </c>
      <c r="V76" s="4" t="s">
        <v>10</v>
      </c>
      <c r="W76" s="10" t="s">
        <v>109</v>
      </c>
      <c r="X76" s="10">
        <v>0.31136914599999999</v>
      </c>
      <c r="Y76" s="10">
        <f t="shared" si="7"/>
        <v>11.675785194850359</v>
      </c>
      <c r="Z76" s="10" t="s">
        <v>10</v>
      </c>
      <c r="AA76" s="7" t="s">
        <v>106</v>
      </c>
      <c r="AB76" s="9">
        <f>MIN(G76,O76)</f>
        <v>0.18351387399999999</v>
      </c>
      <c r="AC76" s="9">
        <f t="shared" si="8"/>
        <v>1.696706299165152</v>
      </c>
      <c r="AD76" s="9">
        <f t="shared" si="9"/>
        <v>19.810378287801825</v>
      </c>
      <c r="AE76" s="7" t="str">
        <f>IF(AND(M76="Failed", V76="Failed"), "Failed", "Passed")</f>
        <v>Passed</v>
      </c>
      <c r="AF76" s="14" t="s">
        <v>115</v>
      </c>
      <c r="AG76" s="14">
        <v>3.93555733</v>
      </c>
      <c r="AH76" s="14" t="s">
        <v>10</v>
      </c>
      <c r="AI76">
        <v>6</v>
      </c>
      <c r="AJ76">
        <v>12</v>
      </c>
    </row>
    <row r="77" spans="1:37" x14ac:dyDescent="0.2">
      <c r="A77" t="s">
        <v>88</v>
      </c>
      <c r="B77">
        <v>1</v>
      </c>
      <c r="C77" s="14" t="s">
        <v>112</v>
      </c>
      <c r="D77" s="14">
        <v>0.65873983300000005</v>
      </c>
      <c r="E77" s="14" t="s">
        <v>10</v>
      </c>
      <c r="F77" s="1" t="s">
        <v>9</v>
      </c>
      <c r="G77" s="2">
        <v>7.5587090999999995E-2</v>
      </c>
      <c r="H77" s="2">
        <v>5.5807999999999998E-5</v>
      </c>
      <c r="I77" s="2">
        <v>7.4148999999999998E-5</v>
      </c>
      <c r="J77" s="2">
        <v>2.956549E-2</v>
      </c>
      <c r="K77" s="2">
        <v>3.4464117000000002E-2</v>
      </c>
      <c r="L77" s="2">
        <f t="shared" si="5"/>
        <v>8.7149779715692475</v>
      </c>
      <c r="M77" s="1" t="s">
        <v>10</v>
      </c>
      <c r="N77" s="4" t="s">
        <v>12</v>
      </c>
      <c r="O77" s="5">
        <v>2.8984702000000001E-2</v>
      </c>
      <c r="P77" s="5">
        <v>6.8971000000000001E-5</v>
      </c>
      <c r="Q77" s="5">
        <v>1.0996E-4</v>
      </c>
      <c r="R77" s="5">
        <v>1.2341006999999999E-2</v>
      </c>
      <c r="S77" s="5">
        <v>5.5762030000000001E-3</v>
      </c>
      <c r="T77" s="5">
        <f t="shared" si="6"/>
        <v>2.6078270875443188</v>
      </c>
      <c r="U77" s="5">
        <f>$D77/O77</f>
        <v>22.727155621610326</v>
      </c>
      <c r="V77" s="4" t="s">
        <v>10</v>
      </c>
      <c r="W77" s="10" t="s">
        <v>109</v>
      </c>
      <c r="X77" s="10">
        <v>2.7289333999999998E-2</v>
      </c>
      <c r="Y77" s="10">
        <f t="shared" si="7"/>
        <v>24.13909525970843</v>
      </c>
      <c r="Z77" s="10" t="s">
        <v>10</v>
      </c>
      <c r="AA77" s="7" t="s">
        <v>106</v>
      </c>
      <c r="AB77" s="9">
        <f>MIN(G77,O77)</f>
        <v>2.8984702000000001E-2</v>
      </c>
      <c r="AC77" s="9">
        <f t="shared" si="8"/>
        <v>0.94150817903872175</v>
      </c>
      <c r="AD77" s="9">
        <f t="shared" si="9"/>
        <v>22.727155621610326</v>
      </c>
      <c r="AE77" s="7" t="str">
        <f>IF(AND(M77="Failed", V77="Failed"), "Failed", "Passed")</f>
        <v>Passed</v>
      </c>
      <c r="AF77" s="14" t="s">
        <v>115</v>
      </c>
      <c r="AG77" s="14">
        <v>0.65134337799999997</v>
      </c>
      <c r="AH77" s="14" t="s">
        <v>10</v>
      </c>
      <c r="AI77">
        <v>19</v>
      </c>
      <c r="AJ77">
        <v>0</v>
      </c>
    </row>
    <row r="78" spans="1:37" x14ac:dyDescent="0.2">
      <c r="A78" t="s">
        <v>89</v>
      </c>
      <c r="B78">
        <v>1</v>
      </c>
      <c r="C78" s="14" t="s">
        <v>112</v>
      </c>
      <c r="D78" s="14">
        <v>0.51905245099999997</v>
      </c>
      <c r="E78" s="14" t="s">
        <v>10</v>
      </c>
      <c r="F78" s="1" t="s">
        <v>9</v>
      </c>
      <c r="G78" s="2">
        <v>5.4553971E-2</v>
      </c>
      <c r="H78" s="2">
        <v>5.4058999999999999E-5</v>
      </c>
      <c r="I78" s="2">
        <v>4.2286999999999997E-5</v>
      </c>
      <c r="J78" s="2">
        <v>1.8045589000000001E-2</v>
      </c>
      <c r="K78" s="2">
        <v>2.6930468999999999E-2</v>
      </c>
      <c r="L78" s="2">
        <f t="shared" si="5"/>
        <v>9.5144760589472028</v>
      </c>
      <c r="M78" s="1" t="s">
        <v>10</v>
      </c>
      <c r="N78" s="4" t="s">
        <v>12</v>
      </c>
      <c r="O78" s="5">
        <v>2.419951E-2</v>
      </c>
      <c r="P78" s="5">
        <v>5.1152000000000001E-5</v>
      </c>
      <c r="Q78" s="5">
        <v>9.0981000000000002E-5</v>
      </c>
      <c r="R78" s="5">
        <v>1.1894750000000001E-2</v>
      </c>
      <c r="S78" s="5">
        <v>3.7580170000000002E-3</v>
      </c>
      <c r="T78" s="5">
        <f t="shared" si="6"/>
        <v>2.2543419680811718</v>
      </c>
      <c r="U78" s="5">
        <f>$D78/O78</f>
        <v>21.448882683988227</v>
      </c>
      <c r="V78" s="4" t="s">
        <v>10</v>
      </c>
      <c r="W78" s="10" t="s">
        <v>109</v>
      </c>
      <c r="X78" s="10">
        <v>3.0347138999999999E-2</v>
      </c>
      <c r="Y78" s="10">
        <f t="shared" si="7"/>
        <v>17.103834763468146</v>
      </c>
      <c r="Z78" s="10" t="s">
        <v>10</v>
      </c>
      <c r="AA78" s="7" t="s">
        <v>106</v>
      </c>
      <c r="AB78" s="9">
        <f>MIN(G78,O78)</f>
        <v>2.419951E-2</v>
      </c>
      <c r="AC78" s="9">
        <f t="shared" si="8"/>
        <v>1.2540393999713217</v>
      </c>
      <c r="AD78" s="9">
        <f t="shared" si="9"/>
        <v>21.448882683988227</v>
      </c>
      <c r="AE78" s="7" t="str">
        <f>IF(AND(M78="Failed", V78="Failed"), "Failed", "Passed")</f>
        <v>Passed</v>
      </c>
      <c r="AF78" s="14" t="s">
        <v>115</v>
      </c>
      <c r="AG78" s="14">
        <v>0.51592093100000003</v>
      </c>
      <c r="AH78" s="14" t="s">
        <v>10</v>
      </c>
      <c r="AI78">
        <v>6</v>
      </c>
      <c r="AJ78">
        <v>0</v>
      </c>
    </row>
    <row r="79" spans="1:37" x14ac:dyDescent="0.2">
      <c r="A79" t="s">
        <v>90</v>
      </c>
      <c r="B79">
        <v>1</v>
      </c>
      <c r="C79" s="14" t="s">
        <v>112</v>
      </c>
      <c r="D79" s="14">
        <v>0.60027675800000002</v>
      </c>
      <c r="E79" s="14" t="s">
        <v>10</v>
      </c>
      <c r="F79" s="1" t="s">
        <v>9</v>
      </c>
      <c r="G79" s="2">
        <v>0.218308645</v>
      </c>
      <c r="H79" s="2">
        <v>6.2444E-5</v>
      </c>
      <c r="I79" s="2">
        <v>8.1963000000000001E-5</v>
      </c>
      <c r="J79" s="2">
        <v>2.0738178999999999E-2</v>
      </c>
      <c r="K79" s="2">
        <v>0.18898305800000001</v>
      </c>
      <c r="L79" s="2">
        <f t="shared" si="5"/>
        <v>2.7496701195685587</v>
      </c>
      <c r="M79" s="1" t="s">
        <v>10</v>
      </c>
      <c r="N79" s="4" t="s">
        <v>12</v>
      </c>
      <c r="O79" s="5">
        <v>2.9264628000000001E-2</v>
      </c>
      <c r="P79" s="5">
        <v>6.6421999999999995E-5</v>
      </c>
      <c r="Q79" s="5">
        <v>1.04058E-4</v>
      </c>
      <c r="R79" s="5">
        <v>1.1737546E-2</v>
      </c>
      <c r="S79" s="5">
        <v>7.2923229999999999E-3</v>
      </c>
      <c r="T79" s="5">
        <f t="shared" si="6"/>
        <v>7.4598127473207585</v>
      </c>
      <c r="U79" s="5">
        <f>$D79/O79</f>
        <v>20.512024208884529</v>
      </c>
      <c r="V79" s="4" t="s">
        <v>10</v>
      </c>
      <c r="W79" s="10" t="s">
        <v>109</v>
      </c>
      <c r="X79" s="10">
        <v>2.9512633E-2</v>
      </c>
      <c r="Y79" s="10">
        <f t="shared" si="7"/>
        <v>20.339654479490189</v>
      </c>
      <c r="Z79" s="10" t="s">
        <v>10</v>
      </c>
      <c r="AA79" s="7" t="s">
        <v>106</v>
      </c>
      <c r="AB79" s="9">
        <f>MIN(G79,O79)</f>
        <v>2.9264628000000001E-2</v>
      </c>
      <c r="AC79" s="9">
        <f t="shared" si="8"/>
        <v>1.0084745652669838</v>
      </c>
      <c r="AD79" s="9">
        <f t="shared" si="9"/>
        <v>20.512024208884529</v>
      </c>
      <c r="AE79" s="7" t="str">
        <f>IF(AND(M79="Failed", V79="Failed"), "Failed", "Passed")</f>
        <v>Passed</v>
      </c>
      <c r="AF79" s="14" t="s">
        <v>115</v>
      </c>
      <c r="AG79" s="14">
        <v>0.59595976699999997</v>
      </c>
      <c r="AH79" s="14" t="s">
        <v>10</v>
      </c>
      <c r="AI79">
        <v>17</v>
      </c>
      <c r="AJ79">
        <v>0</v>
      </c>
    </row>
    <row r="80" spans="1:37" x14ac:dyDescent="0.2">
      <c r="A80" t="s">
        <v>91</v>
      </c>
      <c r="B80">
        <v>1</v>
      </c>
      <c r="C80" s="14" t="s">
        <v>112</v>
      </c>
      <c r="D80" s="14">
        <v>1.200865099</v>
      </c>
      <c r="E80" s="14" t="s">
        <v>10</v>
      </c>
      <c r="F80" s="1" t="s">
        <v>9</v>
      </c>
      <c r="G80" s="2">
        <v>0.123629248</v>
      </c>
      <c r="H80" s="2">
        <v>5.2534800000000003E-4</v>
      </c>
      <c r="I80" s="2">
        <v>4.0491620000000002E-3</v>
      </c>
      <c r="J80" s="2">
        <v>7.8576296000000004E-2</v>
      </c>
      <c r="K80" s="2">
        <v>2.7696032999999998E-2</v>
      </c>
      <c r="L80" s="2">
        <f t="shared" si="5"/>
        <v>9.7134385141613091</v>
      </c>
      <c r="M80" s="1" t="s">
        <v>10</v>
      </c>
      <c r="N80" s="4" t="s">
        <v>12</v>
      </c>
      <c r="O80" s="5">
        <v>0.114672546</v>
      </c>
      <c r="P80" s="5">
        <v>9.1426400000000003E-4</v>
      </c>
      <c r="Q80" s="5">
        <v>1.1885293999999999E-2</v>
      </c>
      <c r="R80" s="5">
        <v>7.6815473999999995E-2</v>
      </c>
      <c r="S80" s="5">
        <v>1.3853188000000001E-2</v>
      </c>
      <c r="T80" s="5">
        <f t="shared" si="6"/>
        <v>1.0781067684674934</v>
      </c>
      <c r="U80" s="5">
        <f>$D80/O80</f>
        <v>10.47212380721014</v>
      </c>
      <c r="V80" s="4" t="s">
        <v>10</v>
      </c>
      <c r="W80" s="10" t="s">
        <v>109</v>
      </c>
      <c r="X80" s="10">
        <v>0.27492450800000001</v>
      </c>
      <c r="Y80" s="10">
        <f t="shared" si="7"/>
        <v>4.3679812605138864</v>
      </c>
      <c r="Z80" s="10" t="s">
        <v>10</v>
      </c>
      <c r="AA80" s="7" t="s">
        <v>106</v>
      </c>
      <c r="AB80" s="9">
        <f>MIN(G80,O80)</f>
        <v>0.114672546</v>
      </c>
      <c r="AC80" s="9">
        <f t="shared" si="8"/>
        <v>2.3974745271636335</v>
      </c>
      <c r="AD80" s="9">
        <f t="shared" si="9"/>
        <v>10.47212380721014</v>
      </c>
      <c r="AE80" s="7" t="str">
        <f>IF(AND(M80="Failed", V80="Failed"), "Failed", "Passed")</f>
        <v>Passed</v>
      </c>
      <c r="AF80" s="14" t="s">
        <v>115</v>
      </c>
      <c r="AG80" s="14">
        <v>0.81065249500000003</v>
      </c>
      <c r="AH80" s="14" t="s">
        <v>10</v>
      </c>
      <c r="AI80">
        <v>24</v>
      </c>
      <c r="AJ80">
        <v>0</v>
      </c>
    </row>
    <row r="81" spans="1:36" x14ac:dyDescent="0.2">
      <c r="A81" t="s">
        <v>92</v>
      </c>
      <c r="B81">
        <v>1</v>
      </c>
      <c r="C81" s="14" t="s">
        <v>112</v>
      </c>
      <c r="D81" s="14">
        <v>0.66406380600000003</v>
      </c>
      <c r="E81" s="14" t="s">
        <v>10</v>
      </c>
      <c r="F81" s="1" t="s">
        <v>9</v>
      </c>
      <c r="G81" s="2">
        <v>5.9663934000000002E-2</v>
      </c>
      <c r="H81" s="2">
        <v>3.8195999999999998E-5</v>
      </c>
      <c r="I81" s="2">
        <v>1.1787500000000001E-4</v>
      </c>
      <c r="J81" s="2">
        <v>2.1466352000000001E-2</v>
      </c>
      <c r="K81" s="2">
        <v>2.9157143999999999E-2</v>
      </c>
      <c r="L81" s="2">
        <f t="shared" si="5"/>
        <v>11.13007073921743</v>
      </c>
      <c r="M81" s="1" t="s">
        <v>10</v>
      </c>
      <c r="N81" s="4" t="s">
        <v>12</v>
      </c>
      <c r="O81" s="5">
        <v>2.7788278999999999E-2</v>
      </c>
      <c r="P81" s="5">
        <v>2.7474000000000002E-5</v>
      </c>
      <c r="Q81" s="5">
        <v>1.8248400000000001E-4</v>
      </c>
      <c r="R81" s="5">
        <v>1.1679828999999999E-2</v>
      </c>
      <c r="S81" s="5">
        <v>5.6084150000000003E-3</v>
      </c>
      <c r="T81" s="5">
        <f t="shared" si="6"/>
        <v>2.1470899295346793</v>
      </c>
      <c r="U81" s="5">
        <f>$D81/O81</f>
        <v>23.897262799182347</v>
      </c>
      <c r="V81" s="4" t="s">
        <v>10</v>
      </c>
      <c r="W81" s="10" t="s">
        <v>109</v>
      </c>
      <c r="X81" s="10">
        <v>2.4917477E-2</v>
      </c>
      <c r="Y81" s="10">
        <f t="shared" si="7"/>
        <v>26.65052348598536</v>
      </c>
      <c r="Z81" s="10" t="s">
        <v>10</v>
      </c>
      <c r="AA81" s="7" t="s">
        <v>106</v>
      </c>
      <c r="AB81" s="9">
        <f>MIN(G81,O81)</f>
        <v>2.7788278999999999E-2</v>
      </c>
      <c r="AC81" s="9">
        <f t="shared" si="8"/>
        <v>0.89669018365620989</v>
      </c>
      <c r="AD81" s="9">
        <f t="shared" si="9"/>
        <v>23.897262799182347</v>
      </c>
      <c r="AE81" s="7" t="str">
        <f>IF(AND(M81="Failed", V81="Failed"), "Failed", "Passed")</f>
        <v>Passed</v>
      </c>
      <c r="AF81" s="14" t="s">
        <v>115</v>
      </c>
      <c r="AG81" s="14">
        <v>0.61699713899999997</v>
      </c>
      <c r="AH81" s="14" t="s">
        <v>10</v>
      </c>
      <c r="AI81">
        <v>15</v>
      </c>
      <c r="AJ81">
        <v>0</v>
      </c>
    </row>
    <row r="82" spans="1:36" x14ac:dyDescent="0.2">
      <c r="A82" t="s">
        <v>93</v>
      </c>
      <c r="B82">
        <v>1</v>
      </c>
      <c r="C82" s="14" t="s">
        <v>112</v>
      </c>
      <c r="D82" s="14">
        <v>0.56609226300000004</v>
      </c>
      <c r="E82" s="14" t="s">
        <v>10</v>
      </c>
      <c r="F82" s="1" t="s">
        <v>9</v>
      </c>
      <c r="G82" s="2">
        <v>5.7845965999999999E-2</v>
      </c>
      <c r="H82" s="2">
        <v>8.1848000000000006E-5</v>
      </c>
      <c r="I82" s="2">
        <v>3.4579000000000002E-5</v>
      </c>
      <c r="J82" s="2">
        <v>1.4541369E-2</v>
      </c>
      <c r="K82" s="2">
        <v>3.8150973999999997E-2</v>
      </c>
      <c r="L82" s="2">
        <f t="shared" si="5"/>
        <v>9.7862012192864078</v>
      </c>
      <c r="M82" s="1" t="s">
        <v>10</v>
      </c>
      <c r="N82" s="4" t="s">
        <v>12</v>
      </c>
      <c r="O82" s="5">
        <v>2.7203102E-2</v>
      </c>
      <c r="P82" s="5">
        <v>6.0028999999999997E-5</v>
      </c>
      <c r="Q82" s="5">
        <v>9.4741000000000007E-5</v>
      </c>
      <c r="R82" s="5">
        <v>1.203476E-2</v>
      </c>
      <c r="S82" s="5">
        <v>5.2572820000000003E-3</v>
      </c>
      <c r="T82" s="5">
        <f t="shared" si="6"/>
        <v>2.1264474176511192</v>
      </c>
      <c r="U82" s="5">
        <f>$D82/O82</f>
        <v>20.809842311365816</v>
      </c>
      <c r="V82" s="4" t="s">
        <v>10</v>
      </c>
      <c r="W82" s="10" t="s">
        <v>109</v>
      </c>
      <c r="X82" s="10">
        <v>2.2474034E-2</v>
      </c>
      <c r="Y82" s="10">
        <f t="shared" si="7"/>
        <v>25.188725041530152</v>
      </c>
      <c r="Z82" s="10" t="s">
        <v>10</v>
      </c>
      <c r="AA82" s="7" t="s">
        <v>106</v>
      </c>
      <c r="AB82" s="9">
        <f>MIN(G82,O82)</f>
        <v>2.7203102E-2</v>
      </c>
      <c r="AC82" s="9">
        <f t="shared" si="8"/>
        <v>0.82615703165028753</v>
      </c>
      <c r="AD82" s="9">
        <f t="shared" si="9"/>
        <v>20.809842311365816</v>
      </c>
      <c r="AE82" s="7" t="str">
        <f>IF(AND(M82="Failed", V82="Failed"), "Failed", "Passed")</f>
        <v>Passed</v>
      </c>
      <c r="AF82" s="14" t="s">
        <v>115</v>
      </c>
      <c r="AG82" s="14">
        <v>0.56782194399999997</v>
      </c>
      <c r="AH82" s="14" t="s">
        <v>10</v>
      </c>
      <c r="AI82">
        <v>7</v>
      </c>
      <c r="AJ82">
        <v>0</v>
      </c>
    </row>
    <row r="83" spans="1:36" x14ac:dyDescent="0.2">
      <c r="A83" t="s">
        <v>94</v>
      </c>
      <c r="B83">
        <v>3</v>
      </c>
      <c r="C83" s="14" t="s">
        <v>112</v>
      </c>
      <c r="D83" s="14">
        <v>0.46976935800000003</v>
      </c>
      <c r="E83" s="14" t="s">
        <v>10</v>
      </c>
      <c r="F83" s="1" t="s">
        <v>9</v>
      </c>
      <c r="G83" s="2">
        <v>0.112300282</v>
      </c>
      <c r="H83" s="2">
        <v>2.0899000000000001E-5</v>
      </c>
      <c r="I83" s="2">
        <v>2.2133E-5</v>
      </c>
      <c r="J83" s="2">
        <v>1.047036E-2</v>
      </c>
      <c r="K83" s="2">
        <v>1.5614842E-2</v>
      </c>
      <c r="L83" s="2">
        <f t="shared" si="5"/>
        <v>4.1831538588656443</v>
      </c>
      <c r="M83" s="1" t="s">
        <v>10</v>
      </c>
      <c r="N83" s="4" t="s">
        <v>12</v>
      </c>
      <c r="O83" s="5">
        <v>0.179957056</v>
      </c>
      <c r="P83" s="5">
        <v>8.7367999999999994E-5</v>
      </c>
      <c r="Q83" s="5">
        <v>3.6096000000000001E-5</v>
      </c>
      <c r="R83" s="5">
        <v>2.4577137999999998E-2</v>
      </c>
      <c r="S83" s="5">
        <v>1.2929654E-2</v>
      </c>
      <c r="T83" s="5">
        <f t="shared" si="6"/>
        <v>0.62403933747393603</v>
      </c>
      <c r="U83" s="5">
        <f>$D83/O83</f>
        <v>2.6104525626380553</v>
      </c>
      <c r="V83" s="4" t="s">
        <v>10</v>
      </c>
      <c r="W83" s="10" t="s">
        <v>109</v>
      </c>
      <c r="X83" s="10">
        <v>0.11372816299999999</v>
      </c>
      <c r="Y83" s="10">
        <f t="shared" si="7"/>
        <v>4.1306334825789817</v>
      </c>
      <c r="Z83" s="10" t="s">
        <v>10</v>
      </c>
      <c r="AA83" s="7" t="s">
        <v>106</v>
      </c>
      <c r="AB83" s="9">
        <f>MIN(G83,O83)</f>
        <v>0.112300282</v>
      </c>
      <c r="AC83" s="9">
        <f t="shared" si="8"/>
        <v>1.0127148478576393</v>
      </c>
      <c r="AD83" s="9">
        <f t="shared" si="9"/>
        <v>4.1831538588656443</v>
      </c>
      <c r="AE83" s="7" t="str">
        <f>IF(AND(M83="Failed", V83="Failed"), "Failed", "Passed")</f>
        <v>Passed</v>
      </c>
      <c r="AF83" s="14" t="s">
        <v>115</v>
      </c>
      <c r="AG83" s="14">
        <v>0.47782212800000001</v>
      </c>
      <c r="AH83" s="14" t="s">
        <v>10</v>
      </c>
      <c r="AI83">
        <v>4</v>
      </c>
      <c r="AJ83">
        <v>0</v>
      </c>
    </row>
    <row r="84" spans="1:36" x14ac:dyDescent="0.2">
      <c r="A84" t="s">
        <v>95</v>
      </c>
      <c r="B84">
        <v>12</v>
      </c>
      <c r="C84" s="14" t="s">
        <v>112</v>
      </c>
      <c r="D84" s="14">
        <v>2.279029564</v>
      </c>
      <c r="E84" s="14" t="s">
        <v>10</v>
      </c>
      <c r="F84" s="1" t="s">
        <v>9</v>
      </c>
      <c r="G84" s="2">
        <v>0.67755048600000001</v>
      </c>
      <c r="H84" s="2">
        <v>9.9871000000000007E-5</v>
      </c>
      <c r="I84" s="2">
        <v>4.0936999999999998E-5</v>
      </c>
      <c r="J84" s="2">
        <v>1.4371637E-2</v>
      </c>
      <c r="K84" s="2">
        <v>2.2929825000000001E-2</v>
      </c>
      <c r="L84" s="2">
        <f t="shared" si="5"/>
        <v>3.363630623976853</v>
      </c>
      <c r="M84" s="1" t="s">
        <v>10</v>
      </c>
      <c r="N84" s="4" t="s">
        <v>12</v>
      </c>
      <c r="O84" s="5">
        <v>0.494362841</v>
      </c>
      <c r="P84" s="5">
        <v>1.9263599999999999E-4</v>
      </c>
      <c r="Q84" s="5">
        <v>7.9087999999999999E-5</v>
      </c>
      <c r="R84" s="5">
        <v>1.9678048E-2</v>
      </c>
      <c r="S84" s="5">
        <v>3.9699970000000003E-3</v>
      </c>
      <c r="T84" s="5">
        <f t="shared" si="6"/>
        <v>1.370553022612798</v>
      </c>
      <c r="U84" s="5">
        <f>$D84/O84</f>
        <v>4.6100341186444469</v>
      </c>
      <c r="V84" s="4" t="s">
        <v>10</v>
      </c>
      <c r="W84" s="10" t="s">
        <v>109</v>
      </c>
      <c r="X84" s="10">
        <v>0.423759371</v>
      </c>
      <c r="Y84" s="10">
        <f t="shared" si="7"/>
        <v>5.3781219247656473</v>
      </c>
      <c r="Z84" s="10" t="s">
        <v>10</v>
      </c>
      <c r="AA84" s="7" t="s">
        <v>106</v>
      </c>
      <c r="AB84" s="9">
        <f>MIN(G84,O84)</f>
        <v>0.494362841</v>
      </c>
      <c r="AC84" s="9">
        <f t="shared" si="8"/>
        <v>0.85718289453717256</v>
      </c>
      <c r="AD84" s="9">
        <f t="shared" si="9"/>
        <v>4.6100341186444469</v>
      </c>
      <c r="AE84" s="7" t="str">
        <f>IF(AND(M84="Failed", V84="Failed"), "Failed", "Passed")</f>
        <v>Passed</v>
      </c>
      <c r="AF84" s="14" t="s">
        <v>115</v>
      </c>
      <c r="AG84" s="14">
        <v>2.3082575250000001</v>
      </c>
      <c r="AH84" s="14" t="s">
        <v>10</v>
      </c>
      <c r="AI84">
        <v>4</v>
      </c>
      <c r="AJ84">
        <v>4</v>
      </c>
    </row>
    <row r="85" spans="1:36" x14ac:dyDescent="0.2">
      <c r="A85" t="s">
        <v>96</v>
      </c>
      <c r="B85">
        <v>1</v>
      </c>
      <c r="C85" s="14" t="s">
        <v>112</v>
      </c>
      <c r="D85" s="14">
        <v>0.450935158</v>
      </c>
      <c r="E85" s="14" t="s">
        <v>10</v>
      </c>
      <c r="F85" s="1" t="s">
        <v>9</v>
      </c>
      <c r="G85" s="2">
        <v>0.17282483200000001</v>
      </c>
      <c r="H85" s="2">
        <v>1.160641E-3</v>
      </c>
      <c r="I85" s="2">
        <v>7.7480999999999999E-5</v>
      </c>
      <c r="J85" s="2">
        <v>1.5846811999999998E-2</v>
      </c>
      <c r="K85" s="2">
        <v>0.140098361</v>
      </c>
      <c r="L85" s="2">
        <f t="shared" si="5"/>
        <v>2.6092035084402685</v>
      </c>
      <c r="M85" s="1" t="s">
        <v>10</v>
      </c>
      <c r="N85" s="4" t="s">
        <v>12</v>
      </c>
      <c r="O85" s="5">
        <v>7.0588770999999995E-2</v>
      </c>
      <c r="P85" s="5">
        <v>2.0295959999999998E-3</v>
      </c>
      <c r="Q85" s="5">
        <v>6.2237999999999996E-5</v>
      </c>
      <c r="R85" s="5">
        <v>3.1005712000000001E-2</v>
      </c>
      <c r="S85" s="5">
        <v>5.6216069999999998E-3</v>
      </c>
      <c r="T85" s="5">
        <f t="shared" si="6"/>
        <v>2.4483332058579124</v>
      </c>
      <c r="U85" s="5">
        <f>$D85/O85</f>
        <v>6.3881995905552742</v>
      </c>
      <c r="V85" s="4" t="s">
        <v>10</v>
      </c>
      <c r="W85" s="10" t="s">
        <v>109</v>
      </c>
      <c r="X85" s="10">
        <v>2.4583124000000001E-2</v>
      </c>
      <c r="Y85" s="10">
        <f t="shared" si="7"/>
        <v>18.343281268889992</v>
      </c>
      <c r="Z85" s="10" t="s">
        <v>10</v>
      </c>
      <c r="AA85" s="7" t="s">
        <v>106</v>
      </c>
      <c r="AB85" s="9">
        <f>MIN(G85,O85)</f>
        <v>7.0588770999999995E-2</v>
      </c>
      <c r="AC85" s="9">
        <f t="shared" si="8"/>
        <v>0.34825828034320083</v>
      </c>
      <c r="AD85" s="9">
        <f t="shared" si="9"/>
        <v>6.3881995905552742</v>
      </c>
      <c r="AE85" s="7" t="str">
        <f>IF(AND(M85="Failed", V85="Failed"), "Failed", "Passed")</f>
        <v>Passed</v>
      </c>
      <c r="AF85" s="14" t="s">
        <v>115</v>
      </c>
      <c r="AG85" s="14">
        <v>0.46952876100000002</v>
      </c>
      <c r="AH85" s="14" t="s">
        <v>10</v>
      </c>
      <c r="AI85">
        <v>2</v>
      </c>
      <c r="AJ85">
        <v>1</v>
      </c>
    </row>
    <row r="86" spans="1:36" x14ac:dyDescent="0.2">
      <c r="A86" t="s">
        <v>97</v>
      </c>
      <c r="B86">
        <v>6</v>
      </c>
      <c r="C86" s="14" t="s">
        <v>112</v>
      </c>
      <c r="D86" s="14">
        <v>1.0510814079999999</v>
      </c>
      <c r="E86" s="14" t="s">
        <v>10</v>
      </c>
      <c r="F86" s="1" t="s">
        <v>9</v>
      </c>
      <c r="G86" s="2">
        <v>0.28140345999999999</v>
      </c>
      <c r="H86" s="2">
        <v>3.6489000000000002E-5</v>
      </c>
      <c r="I86" s="2">
        <v>4.5612999999999998E-5</v>
      </c>
      <c r="J86" s="2">
        <v>1.5258636000000001E-2</v>
      </c>
      <c r="K86" s="2">
        <v>1.7636619999999999E-2</v>
      </c>
      <c r="L86" s="2">
        <f t="shared" si="5"/>
        <v>3.7351403141951418</v>
      </c>
      <c r="M86" s="1" t="s">
        <v>10</v>
      </c>
      <c r="N86" s="4" t="s">
        <v>12</v>
      </c>
      <c r="O86" s="5">
        <v>0.107216269</v>
      </c>
      <c r="P86" s="5">
        <v>3.2610000000000001E-5</v>
      </c>
      <c r="Q86" s="5">
        <v>5.8155999999999997E-5</v>
      </c>
      <c r="R86" s="5">
        <v>8.2044230000000006E-3</v>
      </c>
      <c r="S86" s="5">
        <v>4.1458440000000001E-3</v>
      </c>
      <c r="T86" s="5">
        <f t="shared" si="6"/>
        <v>2.6246339536400018</v>
      </c>
      <c r="U86" s="5">
        <f>$D86/O86</f>
        <v>9.8033760902461538</v>
      </c>
      <c r="V86" s="4" t="s">
        <v>10</v>
      </c>
      <c r="W86" s="10" t="s">
        <v>109</v>
      </c>
      <c r="X86" s="10">
        <v>0.20378743599999999</v>
      </c>
      <c r="Y86" s="10">
        <f t="shared" si="7"/>
        <v>5.1577341009383915</v>
      </c>
      <c r="Z86" s="10" t="s">
        <v>10</v>
      </c>
      <c r="AA86" s="7" t="s">
        <v>106</v>
      </c>
      <c r="AB86" s="9">
        <f>MIN(G86,O86)</f>
        <v>0.107216269</v>
      </c>
      <c r="AC86" s="9">
        <f t="shared" si="8"/>
        <v>1.9007137433592283</v>
      </c>
      <c r="AD86" s="9">
        <f t="shared" si="9"/>
        <v>9.8033760902461538</v>
      </c>
      <c r="AE86" s="7" t="str">
        <f>IF(AND(M86="Failed", V86="Failed"), "Failed", "Passed")</f>
        <v>Passed</v>
      </c>
      <c r="AF86" s="14" t="s">
        <v>115</v>
      </c>
      <c r="AG86" s="14">
        <v>1.035068654</v>
      </c>
      <c r="AH86" s="14" t="s">
        <v>10</v>
      </c>
      <c r="AI86">
        <v>3</v>
      </c>
      <c r="AJ86">
        <v>4</v>
      </c>
    </row>
    <row r="87" spans="1:36" x14ac:dyDescent="0.2">
      <c r="A87" t="s">
        <v>98</v>
      </c>
      <c r="B87">
        <v>6</v>
      </c>
      <c r="C87" s="14" t="s">
        <v>112</v>
      </c>
      <c r="D87" s="14">
        <v>1.531675093</v>
      </c>
      <c r="E87" s="14" t="s">
        <v>10</v>
      </c>
      <c r="F87" s="1" t="s">
        <v>9</v>
      </c>
      <c r="G87" s="2">
        <v>0.24568970400000001</v>
      </c>
      <c r="H87" s="2">
        <v>3.3553000000000002E-5</v>
      </c>
      <c r="I87" s="2">
        <v>2.2986E-5</v>
      </c>
      <c r="J87" s="2">
        <v>1.0208461E-2</v>
      </c>
      <c r="K87" s="2">
        <v>1.8312183999999999E-2</v>
      </c>
      <c r="L87" s="2">
        <f t="shared" si="5"/>
        <v>6.2341851044763361</v>
      </c>
      <c r="M87" s="1" t="s">
        <v>10</v>
      </c>
      <c r="N87" s="4" t="s">
        <v>12</v>
      </c>
      <c r="O87" s="5">
        <v>9.8490973999999995E-2</v>
      </c>
      <c r="P87" s="5">
        <v>3.7790999999999998E-5</v>
      </c>
      <c r="Q87" s="5">
        <v>3.5751999999999999E-5</v>
      </c>
      <c r="R87" s="5">
        <v>8.4229700000000001E-3</v>
      </c>
      <c r="S87" s="5">
        <v>2.869304E-3</v>
      </c>
      <c r="T87" s="5">
        <f t="shared" si="6"/>
        <v>2.4945403017336392</v>
      </c>
      <c r="U87" s="5">
        <f>$D87/O87</f>
        <v>15.551425991583757</v>
      </c>
      <c r="V87" s="4" t="s">
        <v>10</v>
      </c>
      <c r="W87" s="10" t="s">
        <v>109</v>
      </c>
      <c r="X87" s="10">
        <v>0.26060512000000002</v>
      </c>
      <c r="Y87" s="10">
        <f t="shared" si="7"/>
        <v>5.8773791282381556</v>
      </c>
      <c r="Z87" s="10" t="s">
        <v>10</v>
      </c>
      <c r="AA87" s="7" t="s">
        <v>106</v>
      </c>
      <c r="AB87" s="9">
        <f>MIN(G87,O87)</f>
        <v>9.8490973999999995E-2</v>
      </c>
      <c r="AC87" s="9">
        <f t="shared" si="8"/>
        <v>2.6459797219590908</v>
      </c>
      <c r="AD87" s="9">
        <f t="shared" si="9"/>
        <v>15.551425991583757</v>
      </c>
      <c r="AE87" s="7" t="str">
        <f>IF(AND(M87="Failed", V87="Failed"), "Failed", "Passed")</f>
        <v>Passed</v>
      </c>
      <c r="AF87" s="14" t="s">
        <v>115</v>
      </c>
      <c r="AG87" s="14">
        <v>1.5370046829999999</v>
      </c>
      <c r="AH87" s="14" t="s">
        <v>10</v>
      </c>
      <c r="AI87">
        <v>5</v>
      </c>
      <c r="AJ87">
        <v>10</v>
      </c>
    </row>
    <row r="88" spans="1:36" x14ac:dyDescent="0.2">
      <c r="A88" t="s">
        <v>99</v>
      </c>
      <c r="B88">
        <v>3</v>
      </c>
      <c r="C88" s="14" t="s">
        <v>112</v>
      </c>
      <c r="D88" s="14">
        <v>0.89089003700000002</v>
      </c>
      <c r="E88" s="14" t="s">
        <v>10</v>
      </c>
      <c r="F88" s="1" t="s">
        <v>9</v>
      </c>
      <c r="G88" s="2">
        <v>0.141554655</v>
      </c>
      <c r="H88" s="2">
        <v>1.4430000000000001E-5</v>
      </c>
      <c r="I88" s="2">
        <v>2.1246999999999998E-5</v>
      </c>
      <c r="J88" s="2">
        <v>1.0196017999999999E-2</v>
      </c>
      <c r="K88" s="2">
        <v>1.3948916E-2</v>
      </c>
      <c r="L88" s="2">
        <f t="shared" si="5"/>
        <v>6.2936117289819968</v>
      </c>
      <c r="M88" s="1" t="s">
        <v>10</v>
      </c>
      <c r="N88" s="4" t="s">
        <v>12</v>
      </c>
      <c r="O88" s="5">
        <v>0.147391409</v>
      </c>
      <c r="P88" s="5">
        <v>2.2356000000000001E-5</v>
      </c>
      <c r="Q88" s="5">
        <v>3.4329999999999998E-5</v>
      </c>
      <c r="R88" s="5">
        <v>2.203157E-2</v>
      </c>
      <c r="S88" s="5">
        <v>6.4661099999999997E-3</v>
      </c>
      <c r="T88" s="5">
        <f t="shared" si="6"/>
        <v>0.9603996322472228</v>
      </c>
      <c r="U88" s="5">
        <f>$D88/O88</f>
        <v>6.0443823900211173</v>
      </c>
      <c r="V88" s="4" t="s">
        <v>10</v>
      </c>
      <c r="W88" s="10" t="s">
        <v>109</v>
      </c>
      <c r="X88" s="10">
        <v>0.22462531999999999</v>
      </c>
      <c r="Y88" s="10">
        <f t="shared" si="7"/>
        <v>3.9661158279039963</v>
      </c>
      <c r="Z88" s="10" t="s">
        <v>10</v>
      </c>
      <c r="AA88" s="7" t="s">
        <v>106</v>
      </c>
      <c r="AB88" s="9">
        <f>MIN(G88,O88)</f>
        <v>0.141554655</v>
      </c>
      <c r="AC88" s="9">
        <f t="shared" si="8"/>
        <v>1.586845165918422</v>
      </c>
      <c r="AD88" s="9">
        <f t="shared" si="9"/>
        <v>6.2936117289819968</v>
      </c>
      <c r="AE88" s="7" t="str">
        <f>IF(AND(M88="Failed", V88="Failed"), "Failed", "Passed")</f>
        <v>Passed</v>
      </c>
      <c r="AF88" s="14" t="s">
        <v>115</v>
      </c>
      <c r="AG88" s="14">
        <v>0.99196533099999995</v>
      </c>
      <c r="AH88" s="14" t="s">
        <v>10</v>
      </c>
      <c r="AI88">
        <v>2</v>
      </c>
      <c r="AJ88">
        <v>1</v>
      </c>
    </row>
    <row r="89" spans="1:36" x14ac:dyDescent="0.2">
      <c r="A89" t="s">
        <v>100</v>
      </c>
      <c r="B89">
        <v>6</v>
      </c>
      <c r="C89" s="14" t="s">
        <v>112</v>
      </c>
      <c r="D89" s="14">
        <v>0.926110392</v>
      </c>
      <c r="E89" s="14" t="s">
        <v>10</v>
      </c>
      <c r="F89" s="1" t="s">
        <v>9</v>
      </c>
      <c r="G89" s="2">
        <v>0.20160227999999999</v>
      </c>
      <c r="H89" s="2">
        <v>1.5583999999999999E-5</v>
      </c>
      <c r="I89" s="2">
        <v>2.2629999999999998E-5</v>
      </c>
      <c r="J89" s="2">
        <v>9.3001070000000002E-3</v>
      </c>
      <c r="K89" s="2">
        <v>1.3102231000000001E-2</v>
      </c>
      <c r="L89" s="2">
        <f t="shared" si="5"/>
        <v>4.5937495944986342</v>
      </c>
      <c r="M89" s="1" t="s">
        <v>10</v>
      </c>
      <c r="N89" s="4" t="s">
        <v>12</v>
      </c>
      <c r="O89" s="5">
        <v>0.101049388</v>
      </c>
      <c r="P89" s="5">
        <v>2.0659999999999999E-5</v>
      </c>
      <c r="Q89" s="5">
        <v>3.1145000000000001E-5</v>
      </c>
      <c r="R89" s="5">
        <v>7.8549980000000002E-3</v>
      </c>
      <c r="S89" s="5">
        <v>2.5449370000000002E-3</v>
      </c>
      <c r="T89" s="5">
        <f t="shared" si="6"/>
        <v>1.9950866006234496</v>
      </c>
      <c r="U89" s="5">
        <f>$D89/O89</f>
        <v>9.1649282626036292</v>
      </c>
      <c r="V89" s="4" t="s">
        <v>10</v>
      </c>
      <c r="W89" s="10" t="s">
        <v>109</v>
      </c>
      <c r="X89" s="10">
        <v>0.206088092</v>
      </c>
      <c r="Y89" s="10">
        <f t="shared" si="7"/>
        <v>4.4937598432421799</v>
      </c>
      <c r="Z89" s="10" t="s">
        <v>10</v>
      </c>
      <c r="AA89" s="7" t="s">
        <v>106</v>
      </c>
      <c r="AB89" s="9">
        <f>MIN(G89,O89)</f>
        <v>0.101049388</v>
      </c>
      <c r="AC89" s="9">
        <f t="shared" si="8"/>
        <v>2.0394788734395899</v>
      </c>
      <c r="AD89" s="9">
        <f t="shared" si="9"/>
        <v>9.1649282626036292</v>
      </c>
      <c r="AE89" s="7" t="str">
        <f>IF(AND(M89="Failed", V89="Failed"), "Failed", "Passed")</f>
        <v>Passed</v>
      </c>
      <c r="AF89" s="14" t="s">
        <v>115</v>
      </c>
      <c r="AG89" s="14">
        <v>1.0435510589999999</v>
      </c>
      <c r="AH89" s="14" t="s">
        <v>10</v>
      </c>
      <c r="AI89">
        <v>2</v>
      </c>
      <c r="AJ89">
        <v>2</v>
      </c>
    </row>
    <row r="90" spans="1:36" x14ac:dyDescent="0.2">
      <c r="A90" t="s">
        <v>101</v>
      </c>
      <c r="B90">
        <v>3</v>
      </c>
      <c r="C90" s="14" t="s">
        <v>112</v>
      </c>
      <c r="D90" s="14">
        <v>0.87678467999999998</v>
      </c>
      <c r="E90" s="14" t="s">
        <v>10</v>
      </c>
      <c r="F90" s="1" t="s">
        <v>9</v>
      </c>
      <c r="G90" s="2">
        <v>0.12681673399999999</v>
      </c>
      <c r="H90" s="2">
        <v>1.4453999999999999E-5</v>
      </c>
      <c r="I90" s="2">
        <v>1.3118999999999999E-5</v>
      </c>
      <c r="J90" s="2">
        <v>9.1063840000000004E-3</v>
      </c>
      <c r="K90" s="2">
        <v>1.3143198E-2</v>
      </c>
      <c r="L90" s="2">
        <f t="shared" si="5"/>
        <v>6.9137932538145961</v>
      </c>
      <c r="M90" s="1" t="s">
        <v>10</v>
      </c>
      <c r="N90" s="4" t="s">
        <v>12</v>
      </c>
      <c r="O90" s="5">
        <v>6.0204721000000003E-2</v>
      </c>
      <c r="P90" s="5">
        <v>1.7819999999999999E-5</v>
      </c>
      <c r="Q90" s="5">
        <v>4.5113E-5</v>
      </c>
      <c r="R90" s="5">
        <v>8.3175320000000007E-3</v>
      </c>
      <c r="S90" s="5">
        <v>8.8470699999999998E-4</v>
      </c>
      <c r="T90" s="5">
        <f t="shared" si="6"/>
        <v>2.106425075867389</v>
      </c>
      <c r="U90" s="5">
        <f>$D90/O90</f>
        <v>14.563387479197852</v>
      </c>
      <c r="V90" s="4" t="s">
        <v>10</v>
      </c>
      <c r="W90" s="10" t="s">
        <v>109</v>
      </c>
      <c r="X90" s="10">
        <v>0.140470389</v>
      </c>
      <c r="Y90" s="10">
        <f t="shared" si="7"/>
        <v>6.241775837895629</v>
      </c>
      <c r="Z90" s="10" t="s">
        <v>10</v>
      </c>
      <c r="AA90" s="7" t="s">
        <v>106</v>
      </c>
      <c r="AB90" s="9">
        <f>MIN(G90,O90)</f>
        <v>6.0204721000000003E-2</v>
      </c>
      <c r="AC90" s="9">
        <f t="shared" si="8"/>
        <v>2.3332121911170387</v>
      </c>
      <c r="AD90" s="9">
        <f t="shared" si="9"/>
        <v>14.563387479197852</v>
      </c>
      <c r="AE90" s="7" t="str">
        <f>IF(AND(M90="Failed", V90="Failed"), "Failed", "Passed")</f>
        <v>Passed</v>
      </c>
      <c r="AF90" s="14" t="s">
        <v>115</v>
      </c>
      <c r="AG90" s="14">
        <v>1.0555239999999999</v>
      </c>
      <c r="AH90" s="14" t="s">
        <v>10</v>
      </c>
      <c r="AI90">
        <v>2</v>
      </c>
      <c r="AJ90">
        <v>1</v>
      </c>
    </row>
    <row r="91" spans="1:36" x14ac:dyDescent="0.2">
      <c r="A91" t="s">
        <v>102</v>
      </c>
      <c r="B91">
        <v>6</v>
      </c>
      <c r="C91" s="14" t="s">
        <v>112</v>
      </c>
      <c r="D91" s="14">
        <v>1.436951979</v>
      </c>
      <c r="E91" s="14" t="s">
        <v>10</v>
      </c>
      <c r="F91" s="1" t="s">
        <v>9</v>
      </c>
      <c r="G91" s="2">
        <v>0.27825534200000002</v>
      </c>
      <c r="H91" s="2">
        <v>1.9833000000000001E-5</v>
      </c>
      <c r="I91" s="2">
        <v>2.5032E-5</v>
      </c>
      <c r="J91" s="2">
        <v>1.5508088E-2</v>
      </c>
      <c r="K91" s="2">
        <v>1.6440382999999999E-2</v>
      </c>
      <c r="L91" s="2">
        <f t="shared" si="5"/>
        <v>5.1641487587325452</v>
      </c>
      <c r="M91" s="1" t="s">
        <v>10</v>
      </c>
      <c r="N91" s="4" t="s">
        <v>12</v>
      </c>
      <c r="O91" s="5">
        <v>0.166807028</v>
      </c>
      <c r="P91" s="5">
        <v>3.9106000000000001E-5</v>
      </c>
      <c r="Q91" s="5">
        <v>1.39216E-4</v>
      </c>
      <c r="R91" s="5">
        <v>1.5065881E-2</v>
      </c>
      <c r="S91" s="5">
        <v>4.9423899999999996E-3</v>
      </c>
      <c r="T91" s="5">
        <f t="shared" si="6"/>
        <v>1.6681272086449501</v>
      </c>
      <c r="U91" s="5">
        <f>$D91/O91</f>
        <v>8.6144570539318046</v>
      </c>
      <c r="V91" s="4" t="s">
        <v>10</v>
      </c>
      <c r="W91" s="10" t="s">
        <v>109</v>
      </c>
      <c r="X91" s="10">
        <v>0.18835445100000001</v>
      </c>
      <c r="Y91" s="10">
        <f t="shared" si="7"/>
        <v>7.628978085577601</v>
      </c>
      <c r="Z91" s="10" t="s">
        <v>10</v>
      </c>
      <c r="AA91" s="7" t="s">
        <v>106</v>
      </c>
      <c r="AB91" s="9">
        <f>MIN(G91,O91)</f>
        <v>0.166807028</v>
      </c>
      <c r="AC91" s="9">
        <f t="shared" si="8"/>
        <v>1.1291757503167072</v>
      </c>
      <c r="AD91" s="9">
        <f t="shared" si="9"/>
        <v>8.6144570539318046</v>
      </c>
      <c r="AE91" s="7" t="str">
        <f>IF(AND(M91="Failed", V91="Failed"), "Failed", "Passed")</f>
        <v>Passed</v>
      </c>
      <c r="AF91" s="14" t="s">
        <v>115</v>
      </c>
      <c r="AG91" s="14">
        <v>1.4956477050000001</v>
      </c>
      <c r="AH91" s="14" t="s">
        <v>10</v>
      </c>
      <c r="AI91">
        <v>1</v>
      </c>
      <c r="AJ91">
        <v>1</v>
      </c>
    </row>
    <row r="92" spans="1:36" x14ac:dyDescent="0.2">
      <c r="A92" t="s">
        <v>103</v>
      </c>
      <c r="B92">
        <v>1</v>
      </c>
      <c r="C92" s="14" t="s">
        <v>112</v>
      </c>
      <c r="D92" s="14">
        <v>0.43073824199999999</v>
      </c>
      <c r="E92" s="14" t="s">
        <v>10</v>
      </c>
      <c r="F92" s="1" t="s">
        <v>9</v>
      </c>
      <c r="G92" s="2">
        <v>5.3898532999999998E-2</v>
      </c>
      <c r="H92" s="2">
        <v>3.0936000000000003E-5</v>
      </c>
      <c r="I92" s="2">
        <v>7.0028000000000001E-5</v>
      </c>
      <c r="J92" s="2">
        <v>1.4732235E-2</v>
      </c>
      <c r="K92" s="2">
        <v>2.2238329000000001E-2</v>
      </c>
      <c r="L92" s="2">
        <f t="shared" si="5"/>
        <v>7.9916505705266596</v>
      </c>
      <c r="M92" s="1" t="s">
        <v>10</v>
      </c>
      <c r="N92" s="4" t="s">
        <v>12</v>
      </c>
      <c r="O92" s="5">
        <v>5.1680683999999998E-2</v>
      </c>
      <c r="P92" s="5">
        <v>1.7397999999999998E-5</v>
      </c>
      <c r="Q92" s="5">
        <v>1.4120300000000001E-4</v>
      </c>
      <c r="R92" s="5">
        <v>1.5916436999999999E-2</v>
      </c>
      <c r="S92" s="5">
        <v>6.1191270000000002E-3</v>
      </c>
      <c r="T92" s="5">
        <f t="shared" si="6"/>
        <v>1.0429144668441308</v>
      </c>
      <c r="U92" s="5">
        <f>$D92/O92</f>
        <v>8.3346079939654061</v>
      </c>
      <c r="V92" s="4" t="s">
        <v>10</v>
      </c>
      <c r="W92" s="10" t="s">
        <v>109</v>
      </c>
      <c r="X92" s="10">
        <v>6.1134804000000001E-2</v>
      </c>
      <c r="Y92" s="10">
        <f t="shared" si="7"/>
        <v>7.0457123245213964</v>
      </c>
      <c r="Z92" s="10" t="s">
        <v>10</v>
      </c>
      <c r="AA92" s="7" t="s">
        <v>106</v>
      </c>
      <c r="AB92" s="9">
        <f>MIN(G92,O92)</f>
        <v>5.1680683999999998E-2</v>
      </c>
      <c r="AC92" s="9">
        <f t="shared" si="8"/>
        <v>1.1829333373374085</v>
      </c>
      <c r="AD92" s="9">
        <f t="shared" si="9"/>
        <v>8.3346079939654061</v>
      </c>
      <c r="AE92" s="7" t="str">
        <f>IF(AND(M92="Failed", V92="Failed"), "Failed", "Passed")</f>
        <v>Passed</v>
      </c>
      <c r="AF92" s="14" t="s">
        <v>115</v>
      </c>
      <c r="AG92" s="14">
        <v>0.46375140399999998</v>
      </c>
      <c r="AH92" s="14" t="s">
        <v>10</v>
      </c>
      <c r="AI92">
        <v>2</v>
      </c>
      <c r="AJ92">
        <v>1</v>
      </c>
    </row>
    <row r="93" spans="1:36" x14ac:dyDescent="0.2">
      <c r="A93" t="s">
        <v>104</v>
      </c>
      <c r="B93">
        <v>1</v>
      </c>
      <c r="C93" s="14" t="s">
        <v>112</v>
      </c>
      <c r="D93" s="14">
        <v>0.43683182799999998</v>
      </c>
      <c r="E93" s="14" t="s">
        <v>10</v>
      </c>
      <c r="F93" s="1" t="s">
        <v>9</v>
      </c>
      <c r="G93" s="2">
        <v>3.5065128000000001E-2</v>
      </c>
      <c r="H93" s="2">
        <v>6.4516000000000004E-5</v>
      </c>
      <c r="I93" s="2">
        <v>7.2998999999999997E-5</v>
      </c>
      <c r="J93" s="2">
        <v>1.4240968999999999E-2</v>
      </c>
      <c r="K93" s="2">
        <v>1.4260821E-2</v>
      </c>
      <c r="L93" s="2">
        <f t="shared" si="5"/>
        <v>12.457728031108283</v>
      </c>
      <c r="M93" s="1" t="s">
        <v>10</v>
      </c>
      <c r="N93" s="4" t="s">
        <v>12</v>
      </c>
      <c r="O93" s="5">
        <v>2.1126393E-2</v>
      </c>
      <c r="P93" s="5">
        <v>3.2696E-5</v>
      </c>
      <c r="Q93" s="5">
        <v>2.3855000000000001E-5</v>
      </c>
      <c r="R93" s="5">
        <v>1.1476373999999999E-2</v>
      </c>
      <c r="S93" s="5">
        <v>1.6350169999999999E-3</v>
      </c>
      <c r="T93" s="5">
        <f t="shared" si="6"/>
        <v>1.659778268822321</v>
      </c>
      <c r="U93" s="5">
        <f>$D93/O93</f>
        <v>20.677066264932208</v>
      </c>
      <c r="V93" s="4" t="s">
        <v>10</v>
      </c>
      <c r="W93" s="10" t="s">
        <v>109</v>
      </c>
      <c r="X93" s="10">
        <v>2.4599581999999998E-2</v>
      </c>
      <c r="Y93" s="10">
        <f t="shared" si="7"/>
        <v>17.757693118525349</v>
      </c>
      <c r="Z93" s="10" t="s">
        <v>10</v>
      </c>
      <c r="AA93" s="7" t="s">
        <v>106</v>
      </c>
      <c r="AB93" s="9">
        <f>MIN(G93,O93)</f>
        <v>2.1126393E-2</v>
      </c>
      <c r="AC93" s="9">
        <f t="shared" si="8"/>
        <v>1.1644004729060942</v>
      </c>
      <c r="AD93" s="9">
        <f t="shared" si="9"/>
        <v>20.677066264932208</v>
      </c>
      <c r="AE93" s="7" t="str">
        <f>IF(AND(M93="Failed", V93="Failed"), "Failed", "Passed")</f>
        <v>Passed</v>
      </c>
      <c r="AF93" s="14" t="s">
        <v>115</v>
      </c>
      <c r="AG93" s="14">
        <v>0.45714001500000001</v>
      </c>
      <c r="AH93" s="14" t="s">
        <v>10</v>
      </c>
      <c r="AI93">
        <v>2</v>
      </c>
      <c r="AJ93">
        <v>0</v>
      </c>
    </row>
    <row r="94" spans="1:36" x14ac:dyDescent="0.2">
      <c r="C94" s="14"/>
      <c r="D94" s="14"/>
      <c r="E94" s="14"/>
      <c r="F94" s="1"/>
      <c r="G94" s="2"/>
      <c r="H94" s="2"/>
      <c r="I94" s="2"/>
      <c r="J94" s="2"/>
      <c r="K94" s="2"/>
      <c r="L94" s="2"/>
      <c r="M94" s="1"/>
      <c r="N94" s="4"/>
      <c r="O94" s="5"/>
      <c r="P94" s="5"/>
      <c r="Q94" s="5"/>
      <c r="R94" s="5"/>
      <c r="S94" s="5"/>
      <c r="T94" s="5"/>
      <c r="U94" s="5"/>
      <c r="V94" s="4"/>
      <c r="W94" s="10"/>
      <c r="X94" s="10"/>
      <c r="Y94" s="10"/>
      <c r="Z94" s="10"/>
      <c r="AA94" s="7"/>
      <c r="AB94" s="7"/>
      <c r="AC94" s="9"/>
      <c r="AD94" s="7"/>
      <c r="AE94" s="7"/>
      <c r="AF94" s="14"/>
      <c r="AG94" s="14"/>
      <c r="AH94" s="14"/>
    </row>
    <row r="95" spans="1:36" x14ac:dyDescent="0.2">
      <c r="A95" t="s">
        <v>107</v>
      </c>
      <c r="C95" s="14" t="s">
        <v>112</v>
      </c>
      <c r="D95" s="15">
        <f>AVERAGE(D2:D93)</f>
        <v>2.2207612387608693</v>
      </c>
      <c r="E95" s="16">
        <f>COUNTIF(E2:E93, "Failed")</f>
        <v>1</v>
      </c>
      <c r="F95" s="1" t="s">
        <v>9</v>
      </c>
      <c r="G95" s="2">
        <f>AVERAGE(G2:G93)</f>
        <v>1.9847811475217383</v>
      </c>
      <c r="H95" s="2">
        <f>SUMPRODUCT(H2:H93,$B2:$B93) / SUM($B2:$B93)</f>
        <v>2.424823723404255E-4</v>
      </c>
      <c r="I95" s="2">
        <f t="shared" ref="I95:K95" si="10">SUMPRODUCT(I2:I93,$B2:$B93) / SUM($B2:$B93)</f>
        <v>1.731464129787233E-2</v>
      </c>
      <c r="J95" s="2">
        <f t="shared" si="10"/>
        <v>0.22378946548936171</v>
      </c>
      <c r="K95" s="2">
        <f t="shared" si="10"/>
        <v>0.70890911013829827</v>
      </c>
      <c r="L95" s="2">
        <f>AVERAGE(L2:L93)</f>
        <v>10.631466183574416</v>
      </c>
      <c r="M95" s="3">
        <f>COUNTIF(M2:M93, "Failed")</f>
        <v>11</v>
      </c>
      <c r="N95" s="4" t="s">
        <v>12</v>
      </c>
      <c r="O95" s="5">
        <f t="shared" ref="O95" si="11">AVERAGE(O2:O93)</f>
        <v>0.68285375759782596</v>
      </c>
      <c r="P95" s="5">
        <f>SUMPRODUCT(P2:P93,$B2:$B93) / SUM($B2:$B93)</f>
        <v>2.5257186170212772E-4</v>
      </c>
      <c r="Q95" s="5">
        <f t="shared" ref="Q95:S95" si="12">SUMPRODUCT(Q2:Q93,$B2:$B93) / SUM($B2:$B93)</f>
        <v>1.9344155989361702E-2</v>
      </c>
      <c r="R95" s="5">
        <f t="shared" si="12"/>
        <v>0.17238677500531915</v>
      </c>
      <c r="S95" s="5">
        <f t="shared" si="12"/>
        <v>0.12214124560106385</v>
      </c>
      <c r="T95" s="5">
        <f t="shared" si="6"/>
        <v>2.9065976798661719</v>
      </c>
      <c r="U95" s="5">
        <f>AVERAGE(U2:U93)</f>
        <v>22.992258468744943</v>
      </c>
      <c r="V95" s="6">
        <f>COUNTIF(V2:V93, "Failed")</f>
        <v>12</v>
      </c>
      <c r="W95" s="10"/>
      <c r="X95" s="12">
        <f>AVERAGE(X2:X93)</f>
        <v>1.0945115093260867</v>
      </c>
      <c r="Y95" s="12">
        <f>AVERAGE(Y2:Y93)</f>
        <v>17.342751019893583</v>
      </c>
      <c r="Z95" s="11">
        <f>COUNTIF(Z2:Z93, "Failed")</f>
        <v>7</v>
      </c>
      <c r="AA95" s="8" t="s">
        <v>106</v>
      </c>
      <c r="AB95" s="9">
        <f>AVERAGE(AB2:AB93)</f>
        <v>0.6813899630434781</v>
      </c>
      <c r="AC95" s="9">
        <f t="shared" si="8"/>
        <v>1.6062923856955142</v>
      </c>
      <c r="AD95" s="9">
        <f>AVERAGE(AD2:AD93)</f>
        <v>23.015519591758469</v>
      </c>
      <c r="AE95" s="8">
        <f>COUNTIF(AE2:AE93, "Failed")</f>
        <v>7</v>
      </c>
      <c r="AF95" s="14" t="s">
        <v>115</v>
      </c>
      <c r="AG95" s="14">
        <f>AVERAGE(AG2:AG93)</f>
        <v>2.1944867965869577</v>
      </c>
      <c r="AH95" s="14">
        <f>COUNTIF(AH2:AH93, "Failed")</f>
        <v>7</v>
      </c>
    </row>
    <row r="96" spans="1:36" x14ac:dyDescent="0.2">
      <c r="E96" s="1" t="s">
        <v>105</v>
      </c>
      <c r="H96" s="13"/>
      <c r="M96" s="1" t="s">
        <v>105</v>
      </c>
      <c r="V96" t="s">
        <v>105</v>
      </c>
      <c r="Z96" t="s">
        <v>105</v>
      </c>
      <c r="AE96" t="s">
        <v>105</v>
      </c>
      <c r="AH96" t="s">
        <v>105</v>
      </c>
    </row>
    <row r="97" spans="8:8" x14ac:dyDescent="0.2">
      <c r="H97" s="13"/>
    </row>
  </sheetData>
  <conditionalFormatting sqref="AL1:XFD1048576 AK1 A1:AJ1048576">
    <cfRule type="containsText" dxfId="1" priority="3" stopIfTrue="1" operator="containsText" text="Failed">
      <formula>NOT(ISERROR(SEARCH("Failed",A1)))</formula>
    </cfRule>
  </conditionalFormatting>
  <conditionalFormatting sqref="L2:L95 Y2:Y95 T2:U95 AC2:AD95">
    <cfRule type="iconSet" priority="2">
      <iconSet iconSet="4Arrows">
        <cfvo type="percent" val="0"/>
        <cfvo type="num" val="0.75"/>
        <cfvo type="num" val="1"/>
        <cfvo type="num" val="5"/>
      </iconSet>
    </cfRule>
  </conditionalFormatting>
  <pageMargins left="0.78740157499999996" right="0.78740157499999996" top="0.984251969" bottom="0.984251969" header="0.4921259845" footer="0.492125984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819FDF0-284F-EC44-845A-8B301440538E}">
            <x14:iconSet custom="1">
              <x14:cfvo type="percent">
                <xm:f>0</xm:f>
              </x14:cfvo>
              <x14:cfvo type="num">
                <xm:f>5</xm:f>
              </x14:cfvo>
              <x14:cfvo type="num">
                <xm:f>5</xm:f>
              </x14:cfvo>
              <x14:cfIcon iconSet="NoIcons" iconId="0"/>
              <x14:cfIcon iconSet="NoIcons" iconId="0"/>
              <x14:cfIcon iconSet="3TrafficLights1" iconId="0"/>
            </x14:iconSet>
          </x14:cfRule>
          <xm:sqref>O2:O95 G2:G95 X2:X95 D2:D95 AG2:AG95 AB2:AB95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output-comparison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Hagen</dc:creator>
  <cp:lastModifiedBy>David Hagen</cp:lastModifiedBy>
  <dcterms:created xsi:type="dcterms:W3CDTF">2025-10-31T14:05:45Z</dcterms:created>
  <dcterms:modified xsi:type="dcterms:W3CDTF">2025-11-01T16:39:16Z</dcterms:modified>
</cp:coreProperties>
</file>